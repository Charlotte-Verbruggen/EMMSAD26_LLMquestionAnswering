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verbrug\Documents\Papers\26_01_EMMSAD\Runs with Gemini\"/>
    </mc:Choice>
  </mc:AlternateContent>
  <xr:revisionPtr revIDLastSave="0" documentId="13_ncr:1_{76848F58-09ED-4E0E-B27E-1374325510A0}" xr6:coauthVersionLast="47" xr6:coauthVersionMax="47" xr10:uidLastSave="{00000000-0000-0000-0000-000000000000}"/>
  <bookViews>
    <workbookView xWindow="-110" yWindow="-110" windowWidth="19420" windowHeight="11500" firstSheet="6" activeTab="7" xr2:uid="{00000000-000D-0000-FFFF-FFFF00000000}"/>
  </bookViews>
  <sheets>
    <sheet name="Questions-PlantUML" sheetId="1" r:id="rId1"/>
    <sheet name="Questions-PlantUML-2x" sheetId="2" r:id="rId2"/>
    <sheet name="Questions-PlantUML-10x" sheetId="3" r:id="rId3"/>
    <sheet name="Questions-PlantUML-DiffQ" sheetId="4" r:id="rId4"/>
    <sheet name="Questions-JSON" sheetId="5" r:id="rId5"/>
    <sheet name="Questions-JSON-2x" sheetId="6" r:id="rId6"/>
    <sheet name="Questions-JSON-10x" sheetId="7" r:id="rId7"/>
    <sheet name="Large Models-JSON" sheetId="8" r:id="rId8"/>
    <sheet name="Large Models-PlantUML" sheetId="9" r:id="rId9"/>
  </sheets>
  <definedNames>
    <definedName name="_xlnm._FilterDatabase" localSheetId="4" hidden="1">'Questions-JSON'!$A$3:$Y$3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9" l="1" a="1"/>
  <c r="Q4" i="9" s="1"/>
  <c r="Q5" i="9" a="1"/>
  <c r="Q5" i="9" s="1"/>
  <c r="Q6" i="9" a="1"/>
  <c r="Q6" i="9"/>
  <c r="Q7" i="9" a="1"/>
  <c r="Q7" i="9"/>
  <c r="Q8" i="9" a="1"/>
  <c r="Q8" i="9"/>
  <c r="Q9" i="9" a="1"/>
  <c r="Q9" i="9"/>
  <c r="Q10" i="9" a="1"/>
  <c r="Q10" i="9" s="1"/>
  <c r="Q11" i="9" a="1"/>
  <c r="Q11" i="9" s="1"/>
  <c r="Q12" i="9" a="1"/>
  <c r="Q12" i="9"/>
  <c r="Q13" i="9" a="1"/>
  <c r="Q13" i="9" s="1"/>
  <c r="Q14" i="9" a="1"/>
  <c r="Q14" i="9"/>
  <c r="Q15" i="9" a="1"/>
  <c r="Q15" i="9"/>
  <c r="Q16" i="9" a="1"/>
  <c r="Q16" i="9" s="1"/>
  <c r="Q17" i="9" a="1"/>
  <c r="Q17" i="9" s="1"/>
  <c r="Q18" i="9" a="1"/>
  <c r="Q18" i="9"/>
  <c r="Q19" i="9" a="1"/>
  <c r="Q19" i="9"/>
  <c r="Q20" i="9" a="1"/>
  <c r="Q20" i="9"/>
  <c r="Q21" i="9" a="1"/>
  <c r="Q21" i="9"/>
  <c r="Q22" i="9" a="1"/>
  <c r="Q22" i="9" s="1"/>
  <c r="Q23" i="9" a="1"/>
  <c r="Q23" i="9" s="1"/>
  <c r="Q24" i="9" a="1"/>
  <c r="Q24" i="9"/>
  <c r="Q25" i="9" a="1"/>
  <c r="Q25" i="9" s="1"/>
  <c r="Q26" i="9" a="1"/>
  <c r="Q26" i="9"/>
  <c r="Q3" i="9" a="1"/>
  <c r="Q3" i="9" s="1"/>
  <c r="Q4" i="8" a="1"/>
  <c r="Q4" i="8" s="1"/>
  <c r="Q5" i="8" a="1"/>
  <c r="Q5" i="8" s="1"/>
  <c r="Q6" i="8" a="1"/>
  <c r="Q6" i="8" s="1"/>
  <c r="Q7" i="8" a="1"/>
  <c r="Q7" i="8" s="1"/>
  <c r="Q8" i="8" a="1"/>
  <c r="Q8" i="8"/>
  <c r="Q9" i="8" a="1"/>
  <c r="Q9" i="8"/>
  <c r="Q10" i="8" a="1"/>
  <c r="Q10" i="8" s="1"/>
  <c r="Q11" i="8" a="1"/>
  <c r="Q11" i="8" s="1"/>
  <c r="Q12" i="8" a="1"/>
  <c r="Q12" i="8" s="1"/>
  <c r="Q13" i="8" a="1"/>
  <c r="Q13" i="8"/>
  <c r="Q14" i="8" a="1"/>
  <c r="Q14" i="8"/>
  <c r="Q15" i="8" a="1"/>
  <c r="Q15" i="8"/>
  <c r="Q16" i="8" a="1"/>
  <c r="Q16" i="8" s="1"/>
  <c r="Q17" i="8" a="1"/>
  <c r="Q17" i="8" s="1"/>
  <c r="Q18" i="8" a="1"/>
  <c r="Q18" i="8" s="1"/>
  <c r="Q19" i="8" a="1"/>
  <c r="Q19" i="8"/>
  <c r="Q20" i="8" a="1"/>
  <c r="Q20" i="8"/>
  <c r="Q21" i="8" a="1"/>
  <c r="Q21" i="8"/>
  <c r="Q22" i="8" a="1"/>
  <c r="Q22" i="8" s="1"/>
  <c r="Q23" i="8" a="1"/>
  <c r="Q23" i="8" s="1"/>
  <c r="Q24" i="8" a="1"/>
  <c r="Q24" i="8" s="1"/>
  <c r="Q25" i="8" a="1"/>
  <c r="Q25" i="8"/>
  <c r="Q26" i="8" a="1"/>
  <c r="Q26" i="8"/>
  <c r="Q3" i="8" a="1"/>
  <c r="Q3" i="8" s="1"/>
  <c r="M5" i="7" a="1"/>
  <c r="M5" i="7" s="1"/>
  <c r="M6" i="7" a="1"/>
  <c r="M6" i="7"/>
  <c r="M7" i="7" a="1"/>
  <c r="M7" i="7" s="1"/>
  <c r="M8" i="7" a="1"/>
  <c r="M8" i="7" s="1"/>
  <c r="M9" i="7" a="1"/>
  <c r="M9" i="7"/>
  <c r="M10" i="7" a="1"/>
  <c r="M10" i="7"/>
  <c r="M11" i="7" a="1"/>
  <c r="M11" i="7" s="1"/>
  <c r="M12" i="7" a="1"/>
  <c r="M12" i="7"/>
  <c r="M13" i="7" a="1"/>
  <c r="M13" i="7" s="1"/>
  <c r="M14" i="7" a="1"/>
  <c r="M14" i="7" s="1"/>
  <c r="M15" i="7" a="1"/>
  <c r="M15" i="7"/>
  <c r="M16" i="7" a="1"/>
  <c r="M16" i="7"/>
  <c r="M17" i="7" a="1"/>
  <c r="M17" i="7" s="1"/>
  <c r="M18" i="7" a="1"/>
  <c r="M18" i="7"/>
  <c r="M19" i="7" a="1"/>
  <c r="M19" i="7" s="1"/>
  <c r="M20" i="7" a="1"/>
  <c r="M20" i="7" s="1"/>
  <c r="M21" i="7" a="1"/>
  <c r="M21" i="7"/>
  <c r="M22" i="7" a="1"/>
  <c r="M22" i="7"/>
  <c r="M23" i="7" a="1"/>
  <c r="M23" i="7" s="1"/>
  <c r="M24" i="7" a="1"/>
  <c r="M24" i="7"/>
  <c r="M25" i="7" a="1"/>
  <c r="M25" i="7" s="1"/>
  <c r="M26" i="7" a="1"/>
  <c r="M26" i="7" s="1"/>
  <c r="M27" i="7" a="1"/>
  <c r="M27" i="7"/>
  <c r="M28" i="7" a="1"/>
  <c r="M28" i="7"/>
  <c r="M29" i="7" a="1"/>
  <c r="M29" i="7" s="1"/>
  <c r="M30" i="7" a="1"/>
  <c r="M30" i="7"/>
  <c r="M31" i="7" a="1"/>
  <c r="M31" i="7" s="1"/>
  <c r="M32" i="7" a="1"/>
  <c r="M32" i="7" s="1"/>
  <c r="M33" i="7" a="1"/>
  <c r="M33" i="7"/>
  <c r="M34" i="7" a="1"/>
  <c r="M34" i="7"/>
  <c r="M35" i="7" a="1"/>
  <c r="M35" i="7" s="1"/>
  <c r="M36" i="7" a="1"/>
  <c r="M36" i="7"/>
  <c r="M37" i="7" a="1"/>
  <c r="M37" i="7" s="1"/>
  <c r="M38" i="7" a="1"/>
  <c r="M38" i="7" s="1"/>
  <c r="M39" i="7" a="1"/>
  <c r="M39" i="7"/>
  <c r="M40" i="7" a="1"/>
  <c r="M40" i="7"/>
  <c r="M4" i="7"/>
  <c r="M4" i="7" a="1"/>
  <c r="M5" i="6" a="1"/>
  <c r="M5" i="6"/>
  <c r="M6" i="6" a="1"/>
  <c r="M6" i="6"/>
  <c r="M7" i="6" a="1"/>
  <c r="M7" i="6" s="1"/>
  <c r="M8" i="6" a="1"/>
  <c r="M8" i="6"/>
  <c r="M9" i="6" a="1"/>
  <c r="M9" i="6"/>
  <c r="M10" i="6" a="1"/>
  <c r="M10" i="6"/>
  <c r="M11" i="6" a="1"/>
  <c r="M11" i="6"/>
  <c r="M12" i="6" a="1"/>
  <c r="M12" i="6"/>
  <c r="M13" i="6" a="1"/>
  <c r="M13" i="6" s="1"/>
  <c r="M14" i="6" a="1"/>
  <c r="M14" i="6"/>
  <c r="M15" i="6" a="1"/>
  <c r="M15" i="6"/>
  <c r="M16" i="6" a="1"/>
  <c r="M16" i="6"/>
  <c r="M17" i="6" a="1"/>
  <c r="M17" i="6" s="1"/>
  <c r="M18" i="6" a="1"/>
  <c r="M18" i="6"/>
  <c r="M19" i="6" a="1"/>
  <c r="M19" i="6" s="1"/>
  <c r="M20" i="6" a="1"/>
  <c r="M20" i="6"/>
  <c r="M21" i="6" a="1"/>
  <c r="M21" i="6"/>
  <c r="M22" i="6" a="1"/>
  <c r="M22" i="6"/>
  <c r="M23" i="6" a="1"/>
  <c r="M23" i="6" s="1"/>
  <c r="M24" i="6" a="1"/>
  <c r="M24" i="6"/>
  <c r="M25" i="6" a="1"/>
  <c r="M25" i="6" s="1"/>
  <c r="M26" i="6" a="1"/>
  <c r="M26" i="6"/>
  <c r="M27" i="6" a="1"/>
  <c r="M27" i="6" s="1"/>
  <c r="M28" i="6" a="1"/>
  <c r="M28" i="6" s="1"/>
  <c r="M29" i="6" a="1"/>
  <c r="M29" i="6" s="1"/>
  <c r="M30" i="6" a="1"/>
  <c r="M30" i="6"/>
  <c r="M31" i="6" a="1"/>
  <c r="M31" i="6" s="1"/>
  <c r="M32" i="6" a="1"/>
  <c r="M32" i="6"/>
  <c r="M33" i="6" a="1"/>
  <c r="M33" i="6" s="1"/>
  <c r="M34" i="6" a="1"/>
  <c r="M34" i="6"/>
  <c r="M35" i="6" a="1"/>
  <c r="M35" i="6" s="1"/>
  <c r="M36" i="6" a="1"/>
  <c r="M36" i="6"/>
  <c r="M37" i="6" a="1"/>
  <c r="M37" i="6" s="1"/>
  <c r="M38" i="6" a="1"/>
  <c r="M38" i="6"/>
  <c r="M39" i="6" a="1"/>
  <c r="M39" i="6"/>
  <c r="M40" i="6" a="1"/>
  <c r="M40" i="6"/>
  <c r="M4" i="6" a="1"/>
  <c r="M4" i="6" s="1"/>
  <c r="N5" i="5" a="1"/>
  <c r="N5" i="5" s="1"/>
  <c r="N6" i="5" a="1"/>
  <c r="N6" i="5" s="1"/>
  <c r="N7" i="5" a="1"/>
  <c r="N7" i="5" s="1"/>
  <c r="N8" i="5" a="1"/>
  <c r="N8" i="5"/>
  <c r="N9" i="5" a="1"/>
  <c r="N9" i="5" s="1"/>
  <c r="N10" i="5" a="1"/>
  <c r="N10" i="5"/>
  <c r="N11" i="5" a="1"/>
  <c r="N11" i="5" s="1"/>
  <c r="N12" i="5" a="1"/>
  <c r="N12" i="5" s="1"/>
  <c r="N13" i="5" a="1"/>
  <c r="N13" i="5" s="1"/>
  <c r="N14" i="5" a="1"/>
  <c r="N14" i="5"/>
  <c r="N15" i="5" a="1"/>
  <c r="N15" i="5" s="1"/>
  <c r="N16" i="5" a="1"/>
  <c r="N16" i="5"/>
  <c r="N17" i="5" a="1"/>
  <c r="N17" i="5" s="1"/>
  <c r="N18" i="5" a="1"/>
  <c r="N18" i="5" s="1"/>
  <c r="N19" i="5" a="1"/>
  <c r="N19" i="5" s="1"/>
  <c r="N20" i="5" a="1"/>
  <c r="N20" i="5"/>
  <c r="N21" i="5" a="1"/>
  <c r="N21" i="5" s="1"/>
  <c r="N22" i="5" a="1"/>
  <c r="N22" i="5"/>
  <c r="N23" i="5" a="1"/>
  <c r="N23" i="5" s="1"/>
  <c r="N24" i="5" a="1"/>
  <c r="N24" i="5" s="1"/>
  <c r="N25" i="5" a="1"/>
  <c r="N25" i="5" s="1"/>
  <c r="N26" i="5" a="1"/>
  <c r="N26" i="5"/>
  <c r="N27" i="5" a="1"/>
  <c r="N27" i="5" s="1"/>
  <c r="N28" i="5" a="1"/>
  <c r="N28" i="5"/>
  <c r="N29" i="5" a="1"/>
  <c r="N29" i="5" s="1"/>
  <c r="N30" i="5" a="1"/>
  <c r="N30" i="5" s="1"/>
  <c r="N31" i="5" a="1"/>
  <c r="N31" i="5" s="1"/>
  <c r="N32" i="5" a="1"/>
  <c r="N32" i="5"/>
  <c r="N33" i="5" a="1"/>
  <c r="N33" i="5" s="1"/>
  <c r="N34" i="5" a="1"/>
  <c r="N34" i="5"/>
  <c r="N35" i="5" a="1"/>
  <c r="N35" i="5" s="1"/>
  <c r="N36" i="5" a="1"/>
  <c r="N36" i="5" s="1"/>
  <c r="N37" i="5" a="1"/>
  <c r="N37" i="5" s="1"/>
  <c r="N38" i="5" a="1"/>
  <c r="N38" i="5"/>
  <c r="N39" i="5" a="1"/>
  <c r="N39" i="5" s="1"/>
  <c r="N40" i="5" a="1"/>
  <c r="N40" i="5"/>
  <c r="N4" i="5"/>
  <c r="N4" i="5" a="1"/>
  <c r="Q4" i="4" a="1"/>
  <c r="Q4" i="4"/>
  <c r="Q5" i="4" a="1"/>
  <c r="Q5" i="4"/>
  <c r="Q6" i="4" a="1"/>
  <c r="Q6" i="4"/>
  <c r="Q7" i="4" a="1"/>
  <c r="Q7" i="4"/>
  <c r="Q8" i="4" a="1"/>
  <c r="Q8" i="4"/>
  <c r="Q9" i="4" a="1"/>
  <c r="Q9" i="4"/>
  <c r="Q10" i="4" a="1"/>
  <c r="Q10" i="4"/>
  <c r="Q11" i="4" a="1"/>
  <c r="Q11" i="4"/>
  <c r="Q12" i="4" a="1"/>
  <c r="Q12" i="4"/>
  <c r="Q13" i="4" a="1"/>
  <c r="Q13" i="4"/>
  <c r="Q14" i="4" a="1"/>
  <c r="Q14" i="4"/>
  <c r="Q15" i="4" a="1"/>
  <c r="Q15" i="4"/>
  <c r="Q16" i="4" a="1"/>
  <c r="Q16" i="4"/>
  <c r="Q17" i="4" a="1"/>
  <c r="Q17" i="4"/>
  <c r="Q18" i="4" a="1"/>
  <c r="Q18" i="4"/>
  <c r="Q19" i="4" a="1"/>
  <c r="Q19" i="4"/>
  <c r="Q20" i="4" a="1"/>
  <c r="Q20" i="4"/>
  <c r="Q21" i="4" a="1"/>
  <c r="Q21" i="4"/>
  <c r="Q22" i="4" a="1"/>
  <c r="Q22" i="4"/>
  <c r="Q23" i="4" a="1"/>
  <c r="Q23" i="4"/>
  <c r="Q24" i="4" a="1"/>
  <c r="Q24" i="4"/>
  <c r="Q25" i="4" a="1"/>
  <c r="Q25" i="4" s="1"/>
  <c r="Q26" i="4" a="1"/>
  <c r="Q26" i="4"/>
  <c r="Q27" i="4" a="1"/>
  <c r="Q27" i="4"/>
  <c r="Q28" i="4" a="1"/>
  <c r="Q28" i="4"/>
  <c r="Q29" i="4" a="1"/>
  <c r="Q29" i="4"/>
  <c r="Q30" i="4" a="1"/>
  <c r="Q30" i="4" s="1"/>
  <c r="Q31" i="4" a="1"/>
  <c r="Q31" i="4"/>
  <c r="Q32" i="4" a="1"/>
  <c r="Q32" i="4"/>
  <c r="Q33" i="4" a="1"/>
  <c r="Q33" i="4"/>
  <c r="Q34" i="4" a="1"/>
  <c r="Q34" i="4"/>
  <c r="Q35" i="4" a="1"/>
  <c r="Q35" i="4"/>
  <c r="Q36" i="4" a="1"/>
  <c r="Q36" i="4"/>
  <c r="Q37" i="4" a="1"/>
  <c r="Q37" i="4"/>
  <c r="Q38" i="4" a="1"/>
  <c r="Q38" i="4"/>
  <c r="Q39" i="4" a="1"/>
  <c r="Q39" i="4"/>
  <c r="Q40" i="4" a="1"/>
  <c r="Q40" i="4"/>
  <c r="Q5" i="3" a="1"/>
  <c r="Q5" i="3"/>
  <c r="Q6" i="3" a="1"/>
  <c r="Q6" i="3"/>
  <c r="Q7" i="3" a="1"/>
  <c r="Q7" i="3"/>
  <c r="Q8" i="3" a="1"/>
  <c r="Q8" i="3"/>
  <c r="Q9" i="3" a="1"/>
  <c r="Q9" i="3"/>
  <c r="Q10" i="3" a="1"/>
  <c r="Q10" i="3"/>
  <c r="Q11" i="3" a="1"/>
  <c r="Q11" i="3"/>
  <c r="Q12" i="3" a="1"/>
  <c r="Q12" i="3"/>
  <c r="Q13" i="3" a="1"/>
  <c r="Q13" i="3"/>
  <c r="Q14" i="3" a="1"/>
  <c r="Q14" i="3"/>
  <c r="Q15" i="3" a="1"/>
  <c r="Q15" i="3"/>
  <c r="Q16" i="3" a="1"/>
  <c r="Q16" i="3"/>
  <c r="Q17" i="3" a="1"/>
  <c r="Q17" i="3"/>
  <c r="Q18" i="3" a="1"/>
  <c r="Q18" i="3"/>
  <c r="Q19" i="3" a="1"/>
  <c r="Q19" i="3"/>
  <c r="Q20" i="3" a="1"/>
  <c r="Q20" i="3"/>
  <c r="Q21" i="3" a="1"/>
  <c r="Q21" i="3"/>
  <c r="Q22" i="3" a="1"/>
  <c r="Q22" i="3"/>
  <c r="Q23" i="3" a="1"/>
  <c r="Q23" i="3"/>
  <c r="Q24" i="3" a="1"/>
  <c r="Q24" i="3"/>
  <c r="Q25" i="3" a="1"/>
  <c r="Q25" i="3"/>
  <c r="Q26" i="3" a="1"/>
  <c r="Q26" i="3"/>
  <c r="Q27" i="3" a="1"/>
  <c r="Q27" i="3"/>
  <c r="Q28" i="3" a="1"/>
  <c r="Q28" i="3"/>
  <c r="Q29" i="3" a="1"/>
  <c r="Q29" i="3"/>
  <c r="Q30" i="3" a="1"/>
  <c r="Q30" i="3"/>
  <c r="Q31" i="3" a="1"/>
  <c r="Q31" i="3"/>
  <c r="Q32" i="3" a="1"/>
  <c r="Q32" i="3"/>
  <c r="Q33" i="3" a="1"/>
  <c r="Q33" i="3"/>
  <c r="Q34" i="3" a="1"/>
  <c r="Q34" i="3"/>
  <c r="Q35" i="3" a="1"/>
  <c r="Q35" i="3"/>
  <c r="Q36" i="3" a="1"/>
  <c r="Q36" i="3"/>
  <c r="Q37" i="3" a="1"/>
  <c r="Q37" i="3"/>
  <c r="Q38" i="3" a="1"/>
  <c r="Q38" i="3"/>
  <c r="Q39" i="3" a="1"/>
  <c r="Q39" i="3"/>
  <c r="Q4" i="3" a="1"/>
  <c r="Q4" i="3" s="1"/>
  <c r="M5" i="2" a="1"/>
  <c r="M5" i="2" s="1"/>
  <c r="M6" i="2" a="1"/>
  <c r="M6" i="2" s="1"/>
  <c r="M7" i="2" a="1"/>
  <c r="M7" i="2" s="1"/>
  <c r="M8" i="2" a="1"/>
  <c r="M8" i="2" s="1"/>
  <c r="M9" i="2" a="1"/>
  <c r="M9" i="2"/>
  <c r="M10" i="2" a="1"/>
  <c r="M10" i="2"/>
  <c r="M11" i="2" a="1"/>
  <c r="M11" i="2" s="1"/>
  <c r="M12" i="2" a="1"/>
  <c r="M12" i="2" s="1"/>
  <c r="M13" i="2" a="1"/>
  <c r="M13" i="2" s="1"/>
  <c r="M14" i="2" a="1"/>
  <c r="M14" i="2" s="1"/>
  <c r="M15" i="2" a="1"/>
  <c r="M15" i="2"/>
  <c r="M16" i="2" a="1"/>
  <c r="M16" i="2"/>
  <c r="M17" i="2" a="1"/>
  <c r="M17" i="2" s="1"/>
  <c r="M18" i="2" a="1"/>
  <c r="M18" i="2" s="1"/>
  <c r="M19" i="2" a="1"/>
  <c r="M19" i="2" s="1"/>
  <c r="M20" i="2" a="1"/>
  <c r="M20" i="2" s="1"/>
  <c r="M21" i="2" a="1"/>
  <c r="M21" i="2"/>
  <c r="M22" i="2" a="1"/>
  <c r="M22" i="2"/>
  <c r="M23" i="2" a="1"/>
  <c r="M23" i="2" s="1"/>
  <c r="M24" i="2" a="1"/>
  <c r="M24" i="2" s="1"/>
  <c r="M25" i="2" a="1"/>
  <c r="M25" i="2" s="1"/>
  <c r="M26" i="2" a="1"/>
  <c r="M26" i="2" s="1"/>
  <c r="M27" i="2" a="1"/>
  <c r="M27" i="2"/>
  <c r="M28" i="2" a="1"/>
  <c r="M28" i="2"/>
  <c r="M29" i="2" a="1"/>
  <c r="M29" i="2" s="1"/>
  <c r="M30" i="2" a="1"/>
  <c r="M30" i="2" s="1"/>
  <c r="M31" i="2" a="1"/>
  <c r="M31" i="2" s="1"/>
  <c r="M32" i="2" a="1"/>
  <c r="M32" i="2" s="1"/>
  <c r="M33" i="2" a="1"/>
  <c r="M33" i="2"/>
  <c r="M34" i="2" a="1"/>
  <c r="M34" i="2"/>
  <c r="M35" i="2" a="1"/>
  <c r="M35" i="2" s="1"/>
  <c r="M36" i="2" a="1"/>
  <c r="M36" i="2" s="1"/>
  <c r="M37" i="2" a="1"/>
  <c r="M37" i="2" s="1"/>
  <c r="M38" i="2" a="1"/>
  <c r="M38" i="2" s="1"/>
  <c r="M39" i="2" a="1"/>
  <c r="M39" i="2"/>
  <c r="M4" i="2" a="1"/>
  <c r="M4" i="2" s="1"/>
  <c r="M5" i="1" a="1"/>
  <c r="M5" i="1" s="1"/>
  <c r="M6" i="1" a="1"/>
  <c r="M6" i="1"/>
  <c r="M7" i="1" a="1"/>
  <c r="M7" i="1"/>
  <c r="M8" i="1" a="1"/>
  <c r="M8" i="1"/>
  <c r="M9" i="1" a="1"/>
  <c r="M9" i="1"/>
  <c r="M10" i="1" a="1"/>
  <c r="M10" i="1"/>
  <c r="M11" i="1" a="1"/>
  <c r="M11" i="1" s="1"/>
  <c r="M12" i="1" a="1"/>
  <c r="M12" i="1"/>
  <c r="M13" i="1" a="1"/>
  <c r="M13" i="1"/>
  <c r="M14" i="1" a="1"/>
  <c r="M14" i="1"/>
  <c r="M15" i="1" a="1"/>
  <c r="M15" i="1"/>
  <c r="M16" i="1" a="1"/>
  <c r="M16" i="1"/>
  <c r="M17" i="1" a="1"/>
  <c r="M17" i="1" s="1"/>
  <c r="M18" i="1" a="1"/>
  <c r="M18" i="1"/>
  <c r="M19" i="1" a="1"/>
  <c r="M19" i="1"/>
  <c r="M20" i="1" a="1"/>
  <c r="M20" i="1"/>
  <c r="M21" i="1" a="1"/>
  <c r="M21" i="1"/>
  <c r="M22" i="1" a="1"/>
  <c r="M22" i="1"/>
  <c r="M23" i="1" a="1"/>
  <c r="M23" i="1" s="1"/>
  <c r="M24" i="1" a="1"/>
  <c r="M24" i="1"/>
  <c r="M25" i="1" a="1"/>
  <c r="M25" i="1"/>
  <c r="M26" i="1" a="1"/>
  <c r="M26" i="1"/>
  <c r="M27" i="1" a="1"/>
  <c r="M27" i="1"/>
  <c r="M28" i="1" a="1"/>
  <c r="M28" i="1"/>
  <c r="M29" i="1" a="1"/>
  <c r="M29" i="1" s="1"/>
  <c r="M30" i="1" a="1"/>
  <c r="M30" i="1"/>
  <c r="M31" i="1" a="1"/>
  <c r="M31" i="1"/>
  <c r="M32" i="1" a="1"/>
  <c r="M32" i="1"/>
  <c r="M33" i="1" a="1"/>
  <c r="M33" i="1"/>
  <c r="M34" i="1" a="1"/>
  <c r="M34" i="1"/>
  <c r="M35" i="1" a="1"/>
  <c r="M35" i="1" s="1"/>
  <c r="M36" i="1" a="1"/>
  <c r="M36" i="1"/>
  <c r="M37" i="1" a="1"/>
  <c r="M37" i="1"/>
  <c r="M38" i="1" a="1"/>
  <c r="M38" i="1"/>
  <c r="M39" i="1" a="1"/>
  <c r="M39" i="1"/>
  <c r="M4" i="1" a="1"/>
  <c r="M4" i="1" s="1"/>
  <c r="N27" i="9"/>
  <c r="M27" i="9"/>
  <c r="L27" i="9"/>
  <c r="K27" i="9"/>
  <c r="N27" i="8"/>
  <c r="M27" i="8"/>
  <c r="L27" i="8"/>
  <c r="K27" i="8"/>
  <c r="K47" i="7"/>
  <c r="J40" i="7"/>
  <c r="I40" i="7"/>
  <c r="H40" i="7"/>
  <c r="G40" i="7"/>
  <c r="K47" i="6"/>
  <c r="J40" i="6"/>
  <c r="I40" i="6"/>
  <c r="H40" i="6"/>
  <c r="G40" i="6"/>
  <c r="K40" i="5"/>
  <c r="J40" i="5"/>
  <c r="I40" i="5"/>
  <c r="H40" i="5"/>
  <c r="M40" i="4"/>
  <c r="L40" i="4"/>
  <c r="K40" i="4"/>
  <c r="J40" i="4"/>
  <c r="N47" i="3"/>
  <c r="M40" i="3"/>
  <c r="L40" i="3"/>
  <c r="K40" i="3"/>
  <c r="J40" i="3"/>
  <c r="K47" i="2"/>
  <c r="J40" i="2"/>
  <c r="I40" i="2"/>
  <c r="H40" i="2"/>
  <c r="G40" i="2"/>
  <c r="J40" i="1"/>
  <c r="I40" i="1"/>
  <c r="H40" i="1"/>
  <c r="G4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<sst xmlns="http://schemas.openxmlformats.org/spreadsheetml/2006/main" count="3287" uniqueCount="112">
  <si>
    <t>Model Description</t>
  </si>
  <si>
    <t>Question</t>
  </si>
  <si>
    <t>Model</t>
  </si>
  <si>
    <t>Diagramtype</t>
  </si>
  <si>
    <t>Format</t>
  </si>
  <si>
    <t>Lines</t>
  </si>
  <si>
    <t>Used LLM</t>
  </si>
  <si>
    <t xml:space="preserve">Evaluation Notes </t>
  </si>
  <si>
    <t>Findings / Implications</t>
  </si>
  <si>
    <t>q-D1</t>
  </si>
  <si>
    <t>Class Diagram</t>
  </si>
  <si>
    <t>PlantUML</t>
  </si>
  <si>
    <t>Qt allows data obtained from models to be related to specific widgets. Which class is responsible for setting up this data relation between SQL models and widgets?</t>
  </si>
  <si>
    <t>gemini-2.5-flash-lite</t>
  </si>
  <si>
    <t>PASS</t>
  </si>
  <si>
    <t>q-E1</t>
  </si>
  <si>
    <t>Which class is involved in a composition relationship with QAction and is part of the QEvent hierarchy?</t>
  </si>
  <si>
    <t>FAIL</t>
  </si>
  <si>
    <t>Which input event class stores information about which key on the keyboard was pressed?</t>
  </si>
  <si>
    <t>q-G1</t>
  </si>
  <si>
    <t>Which classes are directly depentend on QPainter?</t>
  </si>
  <si>
    <t>SVG is an XML-based file format and language for describing 2 dimensional graphics. Which class controls the drawing of SVG files to a paint device?</t>
  </si>
  <si>
    <t>OpenGL is a standard API for rendering 3D graphics. To use OpenGL-enabled widgets in a Qt application, which class do you need to subclass?</t>
  </si>
  <si>
    <t>q-I2</t>
  </si>
  <si>
    <t>Is this statement true or false? The control class QDragManager is associated with the entity class QPixmap via the attribute pm_cursor.</t>
  </si>
  <si>
    <t>You need to extend Qt’s functionality to include an image plugin to read and write images using an new image format you invented. Which class do you need to subclass for this plugin?</t>
  </si>
  <si>
    <t>You need to improve the design of the module shown in the following diagram and remove some redundancy. Which method will most probably need to be defined in QIODevice from it’s subclasses? (Note that the method can still be reimplemented in QIODevice subclasses as needed.) Should this field be private, public or protected?</t>
  </si>
  <si>
    <t>gemini-2.5-pro</t>
  </si>
  <si>
    <t>GPT 4o-mini</t>
  </si>
  <si>
    <t>GPT 5 - mini</t>
  </si>
  <si>
    <t>Reference</t>
  </si>
  <si>
    <t>Reference answer / Expected answer</t>
  </si>
  <si>
    <t>promptfoo Assertions</t>
  </si>
  <si>
    <t>Asserting Model</t>
  </si>
  <si>
    <t>Paper</t>
  </si>
  <si>
    <t>The class responsible is QDataWidgetMapper, which establishes the relation between an SQL model and individual widgets by mapping model columns to widget properties</t>
  </si>
  <si>
    <t>assert:
      - type: llm-rubric
        value: |
          The answer must identify **QDataWidgetMapper** as the class responsible.</t>
  </si>
  <si>
    <t>GPT 4o</t>
  </si>
  <si>
    <t>2009 - An Empirical Study on the Comprehension of Stereotyped UML Class Diagram Layouts</t>
  </si>
  <si>
    <t>QActionEvent is a Generalisation of QEvent and in a composition relasionship with QAction</t>
  </si>
  <si>
    <t>assert:
      - type: llm-rubric
        value: |
          The answer must identify **QActionEvent** as the class.
          It should mention that QActionEvent is in a composition relationship with QAction.</t>
  </si>
  <si>
    <t>QKeyEvent stores the information about which key was pressed</t>
  </si>
  <si>
    <t>assert:
      - type: llm-rubric
        value: |
          The answer must identify **QKeyEvent** as the class, which stores the information</t>
  </si>
  <si>
    <t>The only directly depentend classes on QPainter are QGraphicsView and QSvgRenderer. QStylePainter is a Generalization and a directled Relationship but not a dependency</t>
  </si>
  <si>
    <t xml:space="preserve">assert:
      - type: llm-rubric
        value: |
          The answer must state that the only directly dependent classes are **QGraphicsView** and **QSvgRenderer**
</t>
  </si>
  <si>
    <t>The class is QSvgRenderer, since its render(QPainter*) method controls drawing SVG files onto a paint device</t>
  </si>
  <si>
    <t xml:space="preserve">assert:
      - type: llm-rubric
        value: |
          The answer must identify **QSvgRenderer** as the class.
</t>
  </si>
  <si>
    <t>You need to subclass the QGLWidget</t>
  </si>
  <si>
    <t>assert:
      - type: llm-rubric
        value: |
          The answer must state that you need to subclass **QGLWidget**.</t>
  </si>
  <si>
    <t>True, QDragManager has a attribute pm_curser with type QPixmap and an Associaction is made between QDragManager and QPixmap.</t>
  </si>
  <si>
    <t>assert:
      - type: llm-rubric
        value: |
          The answer must say that the statement is true.</t>
  </si>
  <si>
    <t>You need to subclass QImageIOPlugin to implement a new image format plugin. Your plugin will return a custom QImageIOHandler subclass that performs the actual reading and writing.</t>
  </si>
  <si>
    <t>assert:
      - type: llm-rubric
        value: |
          The answer must convey that:
          - You need to subclass QImageIOPlugin.
          - Differences in wording are acceptable, but the point above must be present and correct.</t>
  </si>
  <si>
    <t>The redundant method is readData(), which should be defined in QIODevice as a protected method.</t>
  </si>
  <si>
    <t>assert:
      - type: llm-rubric
        value: |
          The answer must convey that:
          - The redundant method is readData()
          - Should be defined as protected in QIODevice
          - Differences in wording are acceptable, but the point above must be present and correct.</t>
  </si>
  <si>
    <t>Qt allows data from models to be displayed in table-based widgets. Which class is responsible for setting up this data relation between models and table views?</t>
  </si>
  <si>
    <t>The class responsible is QTableView.</t>
  </si>
  <si>
    <t>Which class is involved in an association with QPoint and is part of the QInputEvent hierarchy?</t>
  </si>
  <si>
    <t>QMouseEvent</t>
  </si>
  <si>
    <t>Which input event class stores information about the amount of wheel rotation performed by the user?</t>
  </si>
  <si>
    <t>QWheelEvent stores the information</t>
  </si>
  <si>
    <t>Which classes are directly dependent on QPen?</t>
  </si>
  <si>
    <t xml:space="preserve">The only directly depentend classes on QPen are QPainter, QAbstractGraphicsShapeItem. </t>
  </si>
  <si>
    <t>Printing in Qt relies on a paint device abstraction. Which class controls the drawing of output to a physical or virtual printer device?</t>
  </si>
  <si>
    <t>The class is QPrinter.</t>
  </si>
  <si>
    <t>To create custom painting behavior that follows a particular visual style, which class can you subclass to combine QPainter functionality with widget styling?</t>
  </si>
  <si>
    <t>You need to subclass the QStylePainter</t>
  </si>
  <si>
    <t>Is this statement true or false? The control class QClipboard is associated with the entity class QPixmap via a method parameter.</t>
  </si>
  <si>
    <t>true,</t>
  </si>
  <si>
    <t>You need to extend Qt’s functionality to include a new custom device type for reading and writing data streams. Which class do you need to subclass to implement this device?</t>
  </si>
  <si>
    <t>You need to subclass QIODevice</t>
  </si>
  <si>
    <t>You need to improve the design of the module and remove redundancy between different QIODevice subclasses. Which method will most probably need to be defined in QIODevice from its subclasses for writing data? Should this method be private, public, or protected?</t>
  </si>
  <si>
    <t>writeBlock() — should be protected.</t>
  </si>
  <si>
    <t>Evaluation</t>
  </si>
  <si>
    <t>Response from bigUML Ai Agent</t>
  </si>
  <si>
    <t>JSON</t>
  </si>
  <si>
    <t>The `QDataWidgetMapper` class is responsible for setting up the data relation between SQL models and widgets in Qt. This class allows you to map data from a model, such as an SQL model, to widgets, enabling seamless data display and editing.</t>
  </si>
  <si>
    <t>The class that is involved in a composition relationship with QAction and is part of the QEvent hierarchy is QActionEvent.</t>
  </si>
  <si>
    <t>The `QKeyEvent` class stores information about which key on the keyboard was pressed.</t>
  </si>
  <si>
    <t>The classes that are directly dependent on QPainter are QGraphicsView, QStylePainter, and QSvgRenderer.</t>
  </si>
  <si>
    <t>The `QSvgRenderer` class controls the drawing of SVG files to a paint device. It has a `render` operation that takes a `QPainter` as an argument, indicating its role in the drawing process.</t>
  </si>
  <si>
    <t>To use OpenGL-enabled widgets in a Qt application, you need to subclass the `QGLWidget` class.</t>
  </si>
  <si>
    <t>The statement is false. The `QDragManager` class has an attribute named `pm_cursor` which is of type `QPixmap`. However, this attribute represents a dependency or a relationship where `QDragManager` uses `QPixmap`, not an association where `QPixmap` is an attribute of `QDragManager`. The `QPixmap` class has an attribute named `QDragManager` which indicates an association.</t>
  </si>
  <si>
    <t>To extend Qt's functionality for a new image format, you need to subclass the `QImageIOPlugin` class. This class serves as the base for creating custom image input/output handlers, allowing you to define how your new format is read and written.</t>
  </si>
  <si>
    <t>To improve the design and remove redundancy, the `readData` method, which is currently defined as protected in `QBuffer`, `QFile`, `QProcess`, and `QAbstractSocket`, should be moved to the `QIODevice` class. This method should be defined as protected in `QIODevice` to allow subclasses to reimplement it as needed, while providing a common interface for reading data.</t>
  </si>
  <si>
    <t>LIMIT</t>
  </si>
  <si>
    <t>processModelling</t>
  </si>
  <si>
    <t>https://www.plantuml.com/plantuml/uml/r1fDRoktyUvVuNC01tbfJaPHrE_PIOq-MuBbD8UWXn4vAx7YaioGQrlz-EybHUzgkClLK_k00ZrvEH_3uNoJyXzz00fTgo_yJXa71EsbqE3zJGYarbt0Us7DIlqTBx-xo9ZB6n7KYmhxM_I2b0lAcij_N5nUhYA7sLo23aW68Wtw8tHhNv_jAa3J766k8sSzNlnhaEoSLWBM6XymmAS4kpUDvTALNv9gWVPtRm6DLzOmTWgg0H4u_OPivtutfPbHVaqAcqKNj39uX18wGeycGA9V7BZy7Fe8DpP1k8OV2M4dxQkvqzYYAJHzbu7ofWb85VX7R2mXGsWm9dxSGe0Zr7SEgNVHo0uVZcknHR7JoWS6iaQWOm1yWzPfP48w9N5iciudXzruZw7GmbaAyVC10f82VSIzRbL01uuVSWl-eTD1EOqB8JeYD08zTtksEkWY5985K1QsQjJRhBtdlDvvsE1FyN1W10l7J-1WhNIqun92G8ey3DaRi03Qrbcl0ZvPZPCm_9uHPbkNlCO70bL6HHi1JEk2FA09do3WnjA-a5IYbY1siFcIEg5cdheE0sA7-wIraaWmoWbyImO3VIydk_3O__-8pXSWzHu97y6ZNFJnL2LvtZiMH7qgykEI1Tc2A-9MM2DLQLvdVM3WigJnFBWp848wvzUhpFnqJjnqFjYMnU28ahalqyH68YUA-6xTYpYAlaMjNf1WpHAfSdYPoL3-Occt92ix4Qf2Qh7DuhGQt-vWWVXLrWOcUH-t5EZzHCKVUEIsRMUKo2aoZJYKNSODgBbTPixW1MZamMJ_XY9ysWA1I19zK8AtA-Ltd_45kGgHf8MK4CyejaRzratbFM2xHhfxSqX1UOOFUuUB9WKD0JT-rdQTZ5z9-QRJZT95ERzP-oo2TL29Id2N-2su31hjuuAbSb1OxOtOaZKfvdvHORko7GciyStODJKJWv9X6RFoGZaTyQUYFe3V5VBmqDXIh3RQljR4_PH4HEfJOkL0pIHOqIKRFrbRDX3rXfAJfMf-IlXhBP461p9GZfdw-NbSvTZ6214rJDb19l8ZSUOjzwvp5pIvFt1GdyOrsDmq6mA8RJexPycDff1p7zwLuC0_AoCBQVK1zyWGmLihuw4QjUa89kCfU2oGpCy7pgNkDigiKAEeedD9h-0bDj3fy1U5hoppSzbXm5oj3rcAiY_Qx7nICl3eL7DzVpHzLoknOaEU9OdqNfJn2EOp-2EqMBRxYFGePrHQadL8POz-0TtXcFwpMXDGGHUirMEokSxvePnCi2TaPDgkWSjZNkNYXb8YEKLjmk5JBb9i2cQ3AG37U_niLE4QOTsUr6ORc7UxI4YUqHoatKB0CQpgn1UayiBse3JwO0sMH_kjKuJo2NsdMTObdzPYo43B3hFeWh1jaPdlHkPzY6Etu4joTgqg6fOooc_Bmn8OLjyFT-b4m8IbJ57YP964zmdngVSfCsQUn0RCMF1ysP9vQWITwika09L-MKS39QMCP4fQqCpJEiqBVj7SI3kUaSYkDRPCi-b4f8pGdKIVhr7JgdCOEDz2aNnAJg1ImOQW_VdfVhBRuU9bqFmFGxY-_xq9I0s8asFpbyOvwt1qENsq0Vr4G1dE77DwTkUKVRW_O-jqhPt_KBQVpCPqUK9dgT3XYT-w2aI-zvGWVJ8v2BrBBJwA-z5IoJSN-zwhZKc6kN6EB8WjUcRTdTAQh_V6cdthwwBBcP8YvZpLLXYgf-A2nWpdJ7wKIO-yAnJZypj2YSb7bdYcLQBPe-3TykjlZgl9nPhx-XdyBgx_krklGseijIW_xkVDquAH42pjxuthcCAs2tpDogFUBsk2hSje9eTDhNZ675iC20zeWgNI4kS_d_AdKYwX7gGXOghtvTAC-HbLwJq_zhnTM6xvm63i2irjLVT5QTgwYyw_lpqZj4koZTBunLmhdqSJ9mUj4u0B7aeXWr5xYsa6IDeN66lrgVsh_XzWND8lmzDJ0RMqgxyRr_TJ_kublUMHYdyuU64sDdvnq1CwXFnoLEp7J_gVvMiXPa4IQJ9KrwTwhSmk5HCcE4_bYZS-zifJiS5NvIaT-XZpstiKr3nPLMWceLNhG8H5ysZ3d-0bGYPPpNK0RusFxIHIFoBA2ApkLKzzTdMljgdKQ2f6g-NninsVO4Xw1lFrTEViBE4PWgNyZsHPCihZYzqIAFZfc7nd0krN0G9MS6ygP5JDQ2cypd_v67vD-kRgwW-Nm-hwC9I3CYW7sA_VVVljDt-zA5x_CrlwYYomsH1k8A1CW86--awV6KUul2s7b49uy6K1_M1mtNVvdg5_aCvauyeIwTTZKBbJJSqZi-20WRNo5CZPkVBN_2AVbVuG1GmlNfcHhQzJ0MVhVal-7fPv62HolJryVbmj3pyOFO0xdsrrln9RRE6p5OEALSxQOquKq9RGGSJLztKP_DqXSVFrF1z_5aXiRCcuMb0cq-VlR4oPleTpPKdSRUodgiWG0oM6TQTndg7-sfBKgi6P77RKiqvLvphV3uMC8j1BKEJcwu6FwtC-Mt-NpopzAljYM0sqvNspvwdVGfCGDNpdN3ejuf1_-UlN3uoy8ZlpbOCets_bKAX6bLboMXglrdMXzukH9EwbyRruECke7ArGL0jbjuuBNdRAmqte0mvrepgb9Nes25tpgrdFUEedwj__y-ggzkyM5vKdhKmxyxxCp9e9-zRrxyRC7IjW60Q2lK_5OQ03EkxFUqPAl9CHq5gRn9RrKNQNpoydA0pjzVWgZo0zIO7suWryAk-hQVgoN_emVjQtDVemdYpX7KMgJ5tL-W0mH_z5aJ18sTP1i3OCxf466T1QqoYBAFbjMxN6iQCmeUG-0-PGKgUO8MwwNQgQRTHtkVffr_TquN9NtU7oP_AvHgWUF4OIjOl4fxZgn0ZR5jkmJ8qCvaac0woKCetwHeuvBVePNd_9PTVe-RD-AMRsuIsTCNEaay-rC49aHja4mk_65DPMUSsGy36s-DEDdpFy5alMkHooo2DjMmvP1weiJuVWUhOmOlK-51BSTOyhOxY8Re7leYf49UFqu1a-ZqDBccayyf-Qd2wnWfjRZ-8tqUxfnoBLiHYyEcn5hMigxJOuNGY8zCLccWrMIrOJs6u4kotntoDL7ad8P3lT7a37qu5edTCBSwm7raavOhD-Zw0DrK6R3EHZDzDK0yjUFnZ2OODsFl4uI3xrwr5BrBt0U0mvR0ubqZNhvUtpzUlZ_Hi0</t>
  </si>
  <si>
    <t>What’s the difference between a Task and a TaskDescriptor in this model?</t>
  </si>
  <si>
    <t>Task is a reusable content definition; TaskDescriptor is its use in a process breakdown (contextualized instance with performers/inputs/outputs).</t>
  </si>
  <si>
    <t xml:space="preserve">assert:
      - type: llm-rubric
        value: |
          The answer must explain that:
          - **Task** is a definition of work.
          - **TaskDescriptor** is a process-specific instance, contextualized with performers, inputs, and outputs.   </t>
  </si>
  <si>
    <t>GPT 5</t>
  </si>
  <si>
    <t>Distinguish Role, RoleDescriptor, CompositeRole, and RoleSet.</t>
  </si>
  <si>
    <t>Role = reusable content; RoleDescriptor = role in a process; CompositeRole aggregates roles; RoleSet categorizes roles.</t>
  </si>
  <si>
    <t>assert:
      - type: llm-rubric
        value: |
          The answer must explain that:
          - **Role** is a reusable role definition.
          - **RoleDescriptor** is a role used in a process context.
          - **CompositeRole** groups multiple roles.
          - **RoleSet** categorizes or organizes roles.</t>
  </si>
  <si>
    <t>gepettoCore</t>
  </si>
  <si>
    <t>https://www.plantuml.com/plantuml/uml/b5XDSzis4BtxL-YScNYIgm-TkdQIEcFdmrBJGwQ75RWIaO00krWufZlzxuK8KLm2bEgSHBvzkrmi7XQ0VlKCnA4nP_wxjYqGD0jbmFjBPjBhm7YZd5tg9royEakMnJjiMsHsTwv2i_ZdRB5OHgxTBdGrFbjeyEpVCrXx9b2yT_qGNKvxv1-vrMi2wgBJmRI7xi325abQtZosIBf1oqi6ddm93wORySsMt3TK4HfZV07Ii3Ru1Kn06Nm5Mn4mI_VQDQ1jKP5gX4Tk__hMKGCikSq8on4naWLp9Fv66ynTacdbqkyTjDBXEtRZoyDkYD5HMqRQWCB5pRApgjuDNphv7OYYHdywCbLaP4NBl1XOAr4YO5YwG6h2gWxe4kb1AnnDWKofeCy1gPi4GAz8jwoT7K4ADfRboWNBPOXLrqvI6CnZgfzSNn99Qe7hCjGeainmOps3LJWfalO1JFhwYDuqhIFUetBiOZIuGKAhy8_xsqmlDxiyMq96ahg6m8xGE_CWD7hbugUyPXGfoE7cyES0bZLt1Hq86fnnw1VT88NSUDrPQBJoENv9sz2WvHoFQvdGU-riRlbzTNURO--N7p_as0eVYwYnWhEZBxCYwF99yVffhfnoNgNPMbGya_zIDwt1KWUmnNcgI4Pq4MIeW27XKe5IRQD0ywpdPdeoM0Kc_hu5nOwodb7EwjoCocYmn-RcL_BmW4xdMt9gRinqvgNrctTsgW5fvVW-KKEsw39PIElZ-2Xww5Ec6LbmCG_lo8LMHZFknx95nHIQAsTaXMkzhO-Ok6inKqpUIxCDgkWX0jeC6qUcdCji8Dc-qXlARKLKhkwyLc24giQAMysJaiTtCLkwmIMIHl_pIhoxbjxPgCHwaUEItU-DmLoqsbRuE1BV1jklvq_6JJMbsQ3GoUMZzhUmHYC4CuDfgrdlLwZSqMs1USOsGKKkqwLj35GWKrC96ZaVVtilxMxzJKnmMoEXD1DKEdZnXSxiQaAIitRChhbFpB4chisX6gEmURADi5O6_KHatz4WEtjfTGDoWDAu8h0-gJTh7twMCRiOP-QxmWq4msdHpJJoQMKJ-g2vorh0IIM9FNzGueaTlMptiXxlq29frN-qNAa95k4nvUL57fQVmRfsOMtm554Sh6H_c3lxxG_liQWRlGrKp61PWxnX2GMHK-XzSIJyUmViZIv6oFVJUGSvjy5oJyhspM2hmRSmtEEciFN0FVfWs1-xzjG85GgvtGThOJsJ90DjaOVZrIVWEX_n15exPn3innO9sD5CcnVPPKcFSDPklIWbaWQZdrAkfrrav3jWLKVh5MdUXIYFEzdPMLZ6fIWunvRaz9hwukNBNyPhoaNCBJtwnTTNv-Sl_fgXfsjEvFxO_PuYPfVLw6Bw9tqo_0gsaScmFK6IjwOBSLawvPAKSz6BGcJGtxtdlvlddzBhMjpnuizHek3v6WYhbMHd5_NdbYgxnIU_oRKyUX4gHnLM0_vptXxvS8ivU4fIyXlE1j6ZtJzzVNr-_dgMku-TLD_7ZBnOwsEJBQxqYIB_5xZODxiXJfBY_ubOqeOL4cbw_rYCT3BHO9tj6XTyV9-XpaiYYvLl0HVob5Fuo2Bt9VQHw-mmvb7wYNTw4ncKbC5ZkRDevIh9QVDohR15Mw5LqMb0d-kRMlZmdgHqDB4Digg7IYLmNvZqCfBpbXgTcnnAAIPNEPU47CZ6br6oyLaoVFYlKJD6bXe6WcZkespL3qXT19o278eg82CYul18EppxeVRyTQXMZzUMPgHMQqT17OI723huZboa4Gzond8CYS8LtOMnsqBZmLGbsMFvlgDBUEu5ctBcUPJAckFHtzUvXg98Edtl2ClFZlZVZNbPsHTqeEuNREjug1gwxPxYWpG1ye5kHeH1T2lApb45W3G1jfGg0AG9iDT4o8arGML3GP-jXbZU5CJPQeXbM46ShORuTB7WZSPx2R1CVqCzBIRl280iLR0OrTcybUEKn_rCpo0VtcRSsL8e-l3kJy6_NrMdJpVPizKnPTvfp5uEcfUEvRFFHUwxcdoE8_kTrVDIj7HslBWzpW8iTjWxnoO_XlERVcSDnBEOtqs7qqylpZawblGF-j3AX4SxHhyNK0-8B-vNzlZSIIqVQt_QLn1bFtKKUrJDJsh7uakQB7QLYztiOGn-h8SuisJHmlGoA7UsLeILR8TiAXWrUGyif6L9-Zbss7D_nnbQiXYODqspQD8RbsXlpA6Q3HwPYHHRr2-sFLvN1j6opNvXc7hALoXE-Rvwa-aiijY6ZN5qhzHjAVdPAQiMfQ-q6sOm7mMfhJA8BxHzVtAKaBOTvA_rLQYcJxk0h9qu78nN-J44A2j7s3tlq-q0_IizGLCGLv_qUUhvg6dottP924z4-P8F6THdMkkw-819djyESDRhmldZdxUtvny4fbDHpNNEWpvErJv75tXnPtu-iamTjLbP1Ht9AB3cMEqv7rkDx6nJql6AJuhY68LP6r0GEW9rBopGfm3Zalf2hUW5MxSR3tMkFcjmmLRQWgsdtS7LhI7KiI1qiA1IlF792tPeBSvZEN2NOsqTw0vTrGf40IQHttUFxscLBofKmNfHG4yac6S4pDCXJ7En-GfC4xBYpCgACpKBpln4CHX0uBaKhDgAg_7T7AneXg9wLd7cgAc_rDRbeb4aMU3-HdUWSQIsguVxj-YObsu9rcrRuWWa_-OXY98U6aZZcs963rNInqGbsrTML_CFjDLSgSUA8dfzLPMTN4z5Zw-aQiiiM0e0NDKPi3V-xD0cltdJBeg0xEqkHqudIQy55ftNM-dsQTYFumzxVm40</t>
  </si>
  <si>
    <t>What is the role of DataSourceLibraryConfiguration within a DataSource, and how does it interact with libraries?</t>
  </si>
  <si>
    <t>It binds a GeppettoLibrary to a modelInterpreterId and format, letting a DataSource specify how to interpret incoming data per library.</t>
  </si>
  <si>
    <t>assert:
      - type: llm-rubric
        value: |
          The answer must explain that:
          - **DataSourceLibraryConfiguration** binds a GeppettoLibrary to an interpreter ID and format.
          - It specifies how a DataSource interprets incoming data with a given library.</t>
  </si>
  <si>
    <t>What’s the distinction between DomainModel and ExternalDomainModel, and how is format represented?</t>
  </si>
  <si>
    <t>ExternalDomainModel specializes DomainModel to include a fileFormat, while DomainModel links to a ModelFormat, separating internal format metadata from external file-based models.</t>
  </si>
  <si>
    <t>assert:
      - type: llm-rubric
        value: |
                The answer must explain that:
                - **DomainModel** references a ModelFormat, separating model metadata.
                - **ExternalDomainModel** extends DomainModel to also specify a file format for external models.</t>
  </si>
  <si>
    <t>SoftwareMetaModel</t>
  </si>
  <si>
    <t>https://www.plantuml.com/plantuml/uml/p1bTRoEtyTs_miy17EJIF1b5KT_PbnezMuBbz1w2Fep8MOaLbsI6NDkwjl-zf2XfXxjSdTe3YZnfEH_3-UQG-hCFGA5hzONVAEE0eBqK6ho_2O7KiWjuBwnPg2zu-SD5nbpUYA1ULDXU_lFYyd8HoSpgqX56Egc2ieP1hGyLy8fiv_xGhyc2RC7r0ENl38W0Iuqzy0L8mLBfkFDxy2XdvavZYoPKIPwt3Y_-FLJv5hqWvP8wN7lG0Sb0f47VGzVszTak0ZGDiwYZQ1INx9nM8cdwW04-9DYzQIoNhloSL0kqlNiBQ7pScx5JK0s8mEcpUyOq4yelIM4pwu9M1fbFqH5wD04I_Mp7vQVGFTpO1E4QlYU4ZRIl1s_phVSoKDuq0Qa2Vu-D9MG83SR4Zri8q4Dzvv0E8HhuuLs_5ciK6wryO21h13e6m3TedKOcf5CIXwxfV0hOZVSO2YsSfH0_7o0WAT0zxdMj0ZfmtCWr-8TE1nMtcmdH4Q4Hw7dOizT15wcGF82oy5MZtYRzFHNrpiCAVux6WH4i7J-0snV07490YZmCUN1W0RIjiru5VB8QHsdu8oFClYvvZGy4gioADWAOrWLvG1C-GC2LfTG_fb1p41jOVKsTK7TFHOSUiS5jqbf991ZK1BubXu6-bwDTMEx_hhFpsxibC_gS87G-s9O5T439V95fr1UK8qLyjpo8w4NVebOlICaLu-ROhsKcG_dPqcPELdOYL8NK4eK5lPeiRkU1-5KM6fEyZLiAz7wauayy3TgsCqhaV1k73sMNSKVKr2uJDdW16db7iVz04JwiWK0aYJuemNk_yfjF-89SXKZIGigkPnHhetxhnl8Ui5qYtRqvfA0ymuUjmrcJaeQ0EpzhkqpEhzHFq-b6wQ8ttYnz5i6E8ubAy93uDRWC6kpZWgNor5riZLYJDIddFgkmNjYE1DRu9loQEhD1oR2CMNcXN2hTKraVm6yAURWx9LAkDjg-riJzd4GawXDYvP6QIR2YIpv-ihRinkeD9ITBhV6KyDTQ8Hq3o40vP-hsyxpAkOqH8cgOiXsFv4VYp5lkNUSkQ7ApvQ1z6LTXKwDX223MoNREik_QNCvzs2l1WNzLHXRIwjDYpn31QokZKOrQTGIZMGyy5aWMvntdN7ShPHQeKLJHkQLNy18Rw7Jucy9NLlcvxMGWwzQxAaLvQDhCFYaPU63Lr24w66MhdLYnYScIHDetPUp1VA1zX1QBipCXFSe9bUPa7L9veta1tU6G_fDQ4b115wpLGxAfa_DTUSpZWP2HQRi4Bez5jHV7Meda5BLnWO-CIF5GC2jC2JZSunUZYj08wxQaLkl0ejj5GlACPYVj5W8EOTKWlY2Ljvy7fT47Qx0qxRTE4Sedz9rcLPTYMiiX0oqpPjO5OTkYClTEvkSGnwx1b-JiZb8SMCeelowD9J2il-_kqec02KkLeiJ99Wdxcy_JFgRScNaIwp53mPDjI-PBD-ZKNqODg8pBCZeeAMKaKzA2Pf7MQLxmi-P6sk6CH3OwjkMQZIOYPOJk9Ffy9nbtdTt0-HQAubDo19KALWJjBq_tezrsjnY3vl-OmlNzxqr0Qa2S79k_DivPXuERtgCDw4S2U3gNcDEpEwSyfFipjaxNZlEVokCdip5Tdj1PAdHuubUO0f4VUagGFbaSXDwb8pwA-sYfv9lAVU_LoYJ7t3X75iIQNylzHcdDrrjZpRRrTT7bJ4aHSvvg2mnrgvYW8SCvanzbqfvtWM9eloEKc69aYTLEBPiz2dvQVllDSJ6wfV9OFuFV_C-FXWwfiTIYVB-TTayBHaAmjBqthcCAsoxmDMkFUZkl2ROkevaSDhNY6NDiCI0ye0cMIa-S_nR9tnsvX7gIXeYftfTBD-OtIQMtpEnfl_3Qye71s1MQ-weUYzArzH2TVtzxHcZdP1kbyQkrLhur9auEMYO04zotGWQZzXRJ392qBp3Mwih-f-D_X759du_lE0NKqgR-2CltAnxFNzB36Adumy4pixBnYuEUq27aT_PYFsRfVrUlfPWPIQJnK5sTwhKoczHCcE0ybIj-yB5NdgeFlg5E2LFhOd7RPq4jabM59WfQjGv4c3MFDlm5NY9aNDLC1_3M-8-M8lKZeep0wbwyzEjNzzenbGwQcjCgTVni1nQmekzXlbhkZ9qNF4Fmalz8bXMZx5_iva31ZyVaEnDekmWGi89xKo6ZQavBwNN-oyVnRwxlhgx-DFuRvFfoEGJz-iFttt_tzul3_pMPyRYwtatpe0pAFUp8KRp1PxRq5LbWjI9SGK2P03rzxRKyCmvm-sqvf1J2ipO9E4uKruVnOC1GswrtYYW1UzRAKo1dvpfSyujytljT571yySgCR7sT6ZXRxxVaxs6PXqCYrzl3fyV5VFVlomEuyzaMzmknnXO-MT6hMEMiFEP40Mq5caHS_LYNmTyT4ZTVJ_FnPu74nfQCgmMrZth-piwKwVjeLvR4myR-zuaCiG1GFdKQfndghor9hHgSoM6cdcDLdUlyE9GoYaGlGOcRhNi-fi_vR8UxV6Ovh78izYj6Mzut3pprMsWIeexVkPPEYqZrj__wzHqZhyZEVEKWolTRE1IgKMMLd9R6ktLTwFri8Ac8KdalxcqPjAC5Ycg_wvPfmTfEQTo8Fk2nRrIdj4JF1g5hVZKxoVZ7VrrT_QSmSpbk88PXw9rLf9GKazoStD9_PiIX33q1zdM9NLdy6_ZOYlWhIVX0Yg4CwzNOG46BvniuGqeiE5b0UZA2i72yWfi-3kW-tC1BwQxDxhTzwx7uFzzMdRXyisLRzB4sxSOt5w1P9otwY8CC0ImSxC3W7ZT35JgEpMVEMVW92mCbzye6LL9ZGW2NGaTLSuo29uvs5vlRFsNhIdI_zvLbDKBhGLb9hDr8V1RNavZPF68R7qCZWpd9P8IrKcPJUf2fO9r-XizlkMolrFryAsRku2MTiIpS98-DxaYHZ78RY3rtbegnci-aQjQzmByz-3mEdc99wUD35hdATkIGKbHRReSWF4iOiSrS5HB4UjQLb2vEjy2vw0hQoRZdX0hFwr2PINcyygRXAZGtN93mP_Fpj3iBkqbrFXHU7RQXrb5AOtl4W918BqnAiE6sPGs1ROrajqt-pqg5AzraihlTMa3JxKYqvlB27biM99GZ0-RZ2DhGEcYHWNpjoJJrDjBd2qCOVg2xd_4uI3xhL-abpht4-1poi9nAf6lgy_ltw-_dyGy0</t>
  </si>
  <si>
    <t>What is the structural role of an Activity in a process, and how is its decomposition modeled?</t>
  </si>
  <si>
    <t>Activity is a WorkBreakdownElement that can decompose into zero or more BreakdownElements via breakdownElement.</t>
  </si>
  <si>
    <t>assert:
      - type: llm-rubric
        value: |
          The answer must explain that:
          - **Activity** is a WorkBreakdownElement in a process.
          - It decomposes into zero or more BreakdownElements via the breakdownElement relationship.</t>
  </si>
  <si>
    <t>How are work products specialized and described across content and breakdown views?</t>
  </si>
  <si>
    <t>WorkProduct is a content element specialized by Artifact, Deliverable, and Outcome, and its usage in processes is captured by WorkProductDescriptor (a Descriptor).</t>
  </si>
  <si>
    <t>assert:
      - type: llm-rubric
        value: |
            The answer must explain that:
            - **WorkProduct** is a content element, specialized into Artifact, Deliverable, and Outcome.
            - **WorkProductDescriptor** represents its usage in processes.</t>
  </si>
  <si>
    <t>plantUML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</si>
</sst>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2"/>
      <color theme="1"/>
      <name val="Arial"/>
      <scheme val="minor"/>
    </font>
    <font>
      <sz val="12"/>
      <color theme="1"/>
      <name val="Arial"/>
      <scheme val="minor"/>
    </font>
    <font>
      <b/>
      <sz val="11"/>
      <color theme="1"/>
      <name val="Arial"/>
      <scheme val="minor"/>
    </font>
    <font>
      <sz val="11"/>
      <color theme="1"/>
      <name val="Arial"/>
      <scheme val="minor"/>
    </font>
    <font>
      <sz val="10"/>
      <color theme="1"/>
      <name val="Arial"/>
      <scheme val="minor"/>
    </font>
    <font>
      <sz val="10"/>
      <color theme="1"/>
      <name val="Arial"/>
    </font>
  </fonts>
  <fills count="13">
    <fill>
      <patternFill patternType="none"/>
    </fill>
    <fill>
      <patternFill patternType="gray125"/>
    </fill>
    <fill>
      <patternFill patternType="solid">
        <fgColor rgb="FFE6B8AF"/>
        <bgColor rgb="FFE6B8AF"/>
      </patternFill>
    </fill>
    <fill>
      <patternFill patternType="solid">
        <fgColor rgb="FFD9D2E9"/>
        <bgColor rgb="FFD9D2E9"/>
      </patternFill>
    </fill>
    <fill>
      <patternFill patternType="solid">
        <fgColor rgb="FFCFE2F3"/>
        <bgColor rgb="FFCFE2F3"/>
      </patternFill>
    </fill>
    <fill>
      <patternFill patternType="solid">
        <fgColor rgb="FFD9D9D9"/>
        <bgColor rgb="FFD9D9D9"/>
      </patternFill>
    </fill>
    <fill>
      <patternFill patternType="solid">
        <fgColor rgb="FFD9EAD3"/>
        <bgColor rgb="FFD9EAD3"/>
      </patternFill>
    </fill>
    <fill>
      <patternFill patternType="solid">
        <fgColor rgb="FFEAD1DC"/>
        <bgColor rgb="FFEAD1DC"/>
      </patternFill>
    </fill>
    <fill>
      <patternFill patternType="solid">
        <fgColor rgb="FFB6D7A8"/>
        <bgColor rgb="FFB6D7A8"/>
      </patternFill>
    </fill>
    <fill>
      <patternFill patternType="solid">
        <fgColor rgb="FFEA9999"/>
        <bgColor rgb="FFEA9999"/>
      </patternFill>
    </fill>
    <fill>
      <patternFill patternType="solid">
        <fgColor rgb="FFD0E0E3"/>
        <bgColor rgb="FFD0E0E3"/>
      </patternFill>
    </fill>
    <fill>
      <patternFill patternType="solid">
        <fgColor rgb="FFDD7E6B"/>
        <bgColor rgb="FFDD7E6B"/>
      </patternFill>
    </fill>
    <fill>
      <patternFill patternType="solid">
        <fgColor rgb="FFFFF2CC"/>
        <bgColor rgb="FFFFF2CC"/>
      </patternFill>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38">
    <xf numFmtId="0" fontId="0" fillId="0" borderId="0" xfId="0"/>
    <xf numFmtId="0" fontId="1" fillId="2" borderId="0" xfId="0" applyFont="1" applyFill="1" applyAlignment="1">
      <alignment horizontal="center"/>
    </xf>
    <xf numFmtId="0" fontId="2" fillId="0" borderId="0" xfId="0" applyFont="1"/>
    <xf numFmtId="0" fontId="3" fillId="5" borderId="0" xfId="0" applyFont="1" applyFill="1"/>
    <xf numFmtId="0" fontId="3" fillId="5" borderId="0" xfId="0" applyFont="1" applyFill="1" applyAlignment="1">
      <alignment wrapText="1"/>
    </xf>
    <xf numFmtId="9" fontId="3" fillId="5" borderId="0" xfId="0" applyNumberFormat="1" applyFont="1" applyFill="1"/>
    <xf numFmtId="0" fontId="4" fillId="5" borderId="0" xfId="0" applyFont="1" applyFill="1"/>
    <xf numFmtId="0" fontId="5" fillId="0" borderId="0" xfId="0" applyFont="1"/>
    <xf numFmtId="0" fontId="5" fillId="6" borderId="0" xfId="0" applyFont="1" applyFill="1"/>
    <xf numFmtId="0" fontId="5" fillId="0" borderId="0" xfId="0" applyFont="1" applyAlignment="1">
      <alignment wrapText="1"/>
    </xf>
    <xf numFmtId="0" fontId="5" fillId="7" borderId="0" xfId="0" applyFont="1" applyFill="1"/>
    <xf numFmtId="0" fontId="5" fillId="8" borderId="0" xfId="0" applyFont="1" applyFill="1"/>
    <xf numFmtId="0" fontId="5" fillId="9" borderId="0" xfId="0" applyFont="1" applyFill="1"/>
    <xf numFmtId="0" fontId="5" fillId="0" borderId="1" xfId="0" applyFont="1" applyBorder="1"/>
    <xf numFmtId="0" fontId="5" fillId="6" borderId="1" xfId="0" applyFont="1" applyFill="1" applyBorder="1"/>
    <xf numFmtId="0" fontId="5" fillId="0" borderId="1" xfId="0" applyFont="1" applyBorder="1" applyAlignment="1">
      <alignment wrapText="1"/>
    </xf>
    <xf numFmtId="0" fontId="5" fillId="7" borderId="1" xfId="0" applyFont="1" applyFill="1" applyBorder="1"/>
    <xf numFmtId="0" fontId="5" fillId="8" borderId="1" xfId="0" applyFont="1" applyFill="1" applyBorder="1"/>
    <xf numFmtId="0" fontId="5" fillId="10" borderId="0" xfId="0" applyFont="1" applyFill="1"/>
    <xf numFmtId="0" fontId="5" fillId="10" borderId="1" xfId="0" applyFont="1" applyFill="1" applyBorder="1"/>
    <xf numFmtId="0" fontId="5" fillId="11" borderId="0" xfId="0" applyFont="1" applyFill="1"/>
    <xf numFmtId="0" fontId="6" fillId="0" borderId="0" xfId="0" applyFont="1" applyAlignment="1">
      <alignment horizontal="right"/>
    </xf>
    <xf numFmtId="0" fontId="6" fillId="0" borderId="0" xfId="0" applyFont="1"/>
    <xf numFmtId="0" fontId="1" fillId="12" borderId="0" xfId="0" applyFont="1" applyFill="1" applyAlignment="1">
      <alignment horizontal="center"/>
    </xf>
    <xf numFmtId="9" fontId="5" fillId="0" borderId="0" xfId="0" applyNumberFormat="1" applyFont="1"/>
    <xf numFmtId="0" fontId="6" fillId="9" borderId="0" xfId="0" applyFont="1" applyFill="1"/>
    <xf numFmtId="0" fontId="5" fillId="4" borderId="0" xfId="0" applyFont="1" applyFill="1"/>
    <xf numFmtId="0" fontId="5" fillId="4" borderId="1" xfId="0" applyFont="1" applyFill="1" applyBorder="1"/>
    <xf numFmtId="0" fontId="5" fillId="9" borderId="1" xfId="0" applyFont="1" applyFill="1" applyBorder="1"/>
    <xf numFmtId="0" fontId="5" fillId="9" borderId="2" xfId="0" applyFont="1" applyFill="1" applyBorder="1"/>
    <xf numFmtId="0" fontId="5" fillId="0" borderId="2" xfId="0" applyFont="1" applyBorder="1" applyAlignment="1">
      <alignment wrapText="1"/>
    </xf>
    <xf numFmtId="0" fontId="5" fillId="0" borderId="2" xfId="0" applyFont="1" applyBorder="1"/>
    <xf numFmtId="0" fontId="5" fillId="11" borderId="2" xfId="0" applyFont="1" applyFill="1" applyBorder="1"/>
    <xf numFmtId="0" fontId="5" fillId="6" borderId="2" xfId="0" applyFont="1" applyFill="1" applyBorder="1"/>
    <xf numFmtId="0" fontId="1" fillId="2" borderId="0" xfId="0" applyFont="1" applyFill="1" applyAlignment="1">
      <alignment horizontal="center"/>
    </xf>
    <xf numFmtId="0" fontId="0" fillId="0" borderId="0" xfId="0"/>
    <xf numFmtId="0" fontId="1" fillId="3" borderId="0" xfId="0" applyFont="1" applyFill="1" applyAlignment="1">
      <alignment horizontal="center"/>
    </xf>
    <xf numFmtId="0" fontId="1" fillId="4"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X41"/>
  <sheetViews>
    <sheetView workbookViewId="0">
      <selection activeCell="M4" sqref="M4"/>
    </sheetView>
  </sheetViews>
  <sheetFormatPr defaultColWidth="12.6328125" defaultRowHeight="15.75" customHeight="1" x14ac:dyDescent="0.25"/>
  <cols>
    <col min="2" max="2" width="12.6328125" hidden="1"/>
    <col min="4" max="4" width="7.90625" customWidth="1"/>
    <col min="5" max="5" width="49.08984375" customWidth="1"/>
    <col min="11" max="12" width="12.6328125" hidden="1"/>
  </cols>
  <sheetData>
    <row r="2" spans="1:24" ht="21" customHeight="1" x14ac:dyDescent="0.35">
      <c r="A2" s="34" t="s">
        <v>0</v>
      </c>
      <c r="B2" s="35"/>
      <c r="C2" s="35"/>
      <c r="D2" s="35"/>
      <c r="E2" s="36" t="s">
        <v>1</v>
      </c>
      <c r="F2" s="35"/>
      <c r="G2" s="37"/>
      <c r="H2" s="35"/>
      <c r="I2" s="35"/>
      <c r="J2" s="35"/>
      <c r="K2" s="35"/>
      <c r="L2" s="35"/>
      <c r="M2" s="2"/>
      <c r="N2" s="2"/>
      <c r="O2" s="2"/>
      <c r="P2" s="2"/>
      <c r="Q2" s="2"/>
      <c r="R2" s="2"/>
      <c r="S2" s="2"/>
      <c r="T2" s="2"/>
      <c r="U2" s="2"/>
      <c r="V2" s="2"/>
      <c r="W2" s="2"/>
      <c r="X2" s="2"/>
    </row>
    <row r="3" spans="1:24" ht="20.25" customHeight="1" x14ac:dyDescent="0.3">
      <c r="A3" s="3" t="s">
        <v>2</v>
      </c>
      <c r="B3" s="3" t="s">
        <v>3</v>
      </c>
      <c r="C3" s="3" t="s">
        <v>4</v>
      </c>
      <c r="D3" s="3" t="s">
        <v>5</v>
      </c>
      <c r="E3" s="4" t="s">
        <v>1</v>
      </c>
      <c r="F3" s="3" t="s">
        <v>6</v>
      </c>
      <c r="G3" s="5">
        <v>0.25</v>
      </c>
      <c r="H3" s="5">
        <v>0.5</v>
      </c>
      <c r="I3" s="5">
        <v>0.75</v>
      </c>
      <c r="J3" s="5">
        <v>1</v>
      </c>
      <c r="K3" s="3" t="s">
        <v>7</v>
      </c>
      <c r="L3" s="3" t="s">
        <v>8</v>
      </c>
      <c r="M3" s="6"/>
      <c r="N3" s="6"/>
      <c r="O3" s="6"/>
      <c r="P3" s="6"/>
      <c r="Q3" s="6"/>
      <c r="R3" s="6"/>
      <c r="S3" s="6"/>
      <c r="T3" s="6"/>
      <c r="U3" s="6"/>
      <c r="V3" s="6"/>
      <c r="W3" s="6"/>
      <c r="X3" s="6"/>
    </row>
    <row r="4" spans="1:24" ht="22.5" customHeight="1" x14ac:dyDescent="0.25">
      <c r="A4" s="7" t="s">
        <v>9</v>
      </c>
      <c r="B4" s="7" t="s">
        <v>10</v>
      </c>
      <c r="C4" s="8" t="s">
        <v>11</v>
      </c>
      <c r="D4" s="7">
        <v>138</v>
      </c>
      <c r="E4" s="9" t="s">
        <v>12</v>
      </c>
      <c r="F4" s="10" t="s">
        <v>13</v>
      </c>
      <c r="G4" s="11" t="s">
        <v>14</v>
      </c>
      <c r="H4" s="11" t="s">
        <v>14</v>
      </c>
      <c r="I4" s="11" t="s">
        <v>14</v>
      </c>
      <c r="J4" s="11" t="s">
        <v>14</v>
      </c>
      <c r="M4" cm="1">
        <f t="array" ref="M4">_xlfn.IFS(J4="PASS",1,I4="PASS",0.75,H4="PASS",0.5,G4="PASS",0.25,G4="FAIL",0)</f>
        <v>1</v>
      </c>
    </row>
    <row r="5" spans="1:24" ht="22.5" customHeight="1" x14ac:dyDescent="0.25">
      <c r="A5" s="7" t="s">
        <v>15</v>
      </c>
      <c r="B5" s="7" t="s">
        <v>10</v>
      </c>
      <c r="C5" s="8" t="s">
        <v>11</v>
      </c>
      <c r="D5" s="7">
        <v>156</v>
      </c>
      <c r="E5" s="9" t="s">
        <v>16</v>
      </c>
      <c r="F5" s="10" t="s">
        <v>13</v>
      </c>
      <c r="G5" s="11" t="s">
        <v>14</v>
      </c>
      <c r="H5" s="12" t="s">
        <v>17</v>
      </c>
      <c r="I5" s="12" t="s">
        <v>17</v>
      </c>
      <c r="J5" s="12" t="s">
        <v>17</v>
      </c>
      <c r="M5" cm="1">
        <f t="array" ref="M5">_xlfn.IFS(J5="PASS",1,I5="PASS",0.75,H5="PASS",0.5,G5="PASS",0.25,G5="FAIL",0)</f>
        <v>0.25</v>
      </c>
    </row>
    <row r="6" spans="1:24" ht="22.5" customHeight="1" x14ac:dyDescent="0.25">
      <c r="A6" s="7" t="s">
        <v>15</v>
      </c>
      <c r="B6" s="7" t="s">
        <v>10</v>
      </c>
      <c r="C6" s="8" t="s">
        <v>11</v>
      </c>
      <c r="D6" s="7">
        <v>156</v>
      </c>
      <c r="E6" s="9" t="s">
        <v>18</v>
      </c>
      <c r="F6" s="10" t="s">
        <v>13</v>
      </c>
      <c r="G6" s="11" t="s">
        <v>14</v>
      </c>
      <c r="H6" s="11" t="s">
        <v>14</v>
      </c>
      <c r="I6" s="11" t="s">
        <v>14</v>
      </c>
      <c r="J6" s="11" t="s">
        <v>14</v>
      </c>
      <c r="M6" cm="1">
        <f t="array" ref="M6">_xlfn.IFS(J6="PASS",1,I6="PASS",0.75,H6="PASS",0.5,G6="PASS",0.25,G6="FAIL",0)</f>
        <v>1</v>
      </c>
    </row>
    <row r="7" spans="1:24" ht="22.5" customHeight="1" x14ac:dyDescent="0.25">
      <c r="A7" s="7" t="s">
        <v>19</v>
      </c>
      <c r="B7" s="7" t="s">
        <v>10</v>
      </c>
      <c r="C7" s="8" t="s">
        <v>11</v>
      </c>
      <c r="D7" s="7">
        <v>130</v>
      </c>
      <c r="E7" s="9" t="s">
        <v>20</v>
      </c>
      <c r="F7" s="10" t="s">
        <v>13</v>
      </c>
      <c r="G7" s="11" t="s">
        <v>14</v>
      </c>
      <c r="H7" s="11" t="s">
        <v>14</v>
      </c>
      <c r="I7" s="11" t="s">
        <v>14</v>
      </c>
      <c r="J7" s="11" t="s">
        <v>14</v>
      </c>
      <c r="M7" cm="1">
        <f t="array" ref="M7">_xlfn.IFS(J7="PASS",1,I7="PASS",0.75,H7="PASS",0.5,G7="PASS",0.25,G7="FAIL",0)</f>
        <v>1</v>
      </c>
    </row>
    <row r="8" spans="1:24" ht="22.5" customHeight="1" x14ac:dyDescent="0.25">
      <c r="A8" s="7" t="s">
        <v>19</v>
      </c>
      <c r="B8" s="7" t="s">
        <v>10</v>
      </c>
      <c r="C8" s="8" t="s">
        <v>11</v>
      </c>
      <c r="D8" s="7">
        <v>130</v>
      </c>
      <c r="E8" s="9" t="s">
        <v>21</v>
      </c>
      <c r="F8" s="10" t="s">
        <v>13</v>
      </c>
      <c r="G8" s="11" t="s">
        <v>14</v>
      </c>
      <c r="H8" s="11" t="s">
        <v>14</v>
      </c>
      <c r="I8" s="11" t="s">
        <v>14</v>
      </c>
      <c r="J8" s="11" t="s">
        <v>14</v>
      </c>
      <c r="M8" cm="1">
        <f t="array" ref="M8">_xlfn.IFS(J8="PASS",1,I8="PASS",0.75,H8="PASS",0.5,G8="PASS",0.25,G8="FAIL",0)</f>
        <v>1</v>
      </c>
    </row>
    <row r="9" spans="1:24" ht="22.5" customHeight="1" x14ac:dyDescent="0.25">
      <c r="A9" s="7" t="s">
        <v>19</v>
      </c>
      <c r="B9" s="7" t="s">
        <v>10</v>
      </c>
      <c r="C9" s="8" t="s">
        <v>11</v>
      </c>
      <c r="D9" s="7">
        <v>130</v>
      </c>
      <c r="E9" s="9" t="s">
        <v>22</v>
      </c>
      <c r="F9" s="10" t="s">
        <v>13</v>
      </c>
      <c r="G9" s="11" t="s">
        <v>14</v>
      </c>
      <c r="H9" s="11" t="s">
        <v>14</v>
      </c>
      <c r="I9" s="11" t="s">
        <v>14</v>
      </c>
      <c r="J9" s="11" t="s">
        <v>14</v>
      </c>
      <c r="M9" cm="1">
        <f t="array" ref="M9">_xlfn.IFS(J9="PASS",1,I9="PASS",0.75,H9="PASS",0.5,G9="PASS",0.25,G9="FAIL",0)</f>
        <v>1</v>
      </c>
    </row>
    <row r="10" spans="1:24" ht="22.5" customHeight="1" x14ac:dyDescent="0.25">
      <c r="A10" s="7" t="s">
        <v>23</v>
      </c>
      <c r="B10" s="7" t="s">
        <v>10</v>
      </c>
      <c r="C10" s="8" t="s">
        <v>11</v>
      </c>
      <c r="D10" s="7">
        <v>165</v>
      </c>
      <c r="E10" s="9" t="s">
        <v>24</v>
      </c>
      <c r="F10" s="10" t="s">
        <v>13</v>
      </c>
      <c r="G10" s="11" t="s">
        <v>14</v>
      </c>
      <c r="H10" s="11" t="s">
        <v>14</v>
      </c>
      <c r="I10" s="11" t="s">
        <v>14</v>
      </c>
      <c r="J10" s="11" t="s">
        <v>14</v>
      </c>
      <c r="M10" cm="1">
        <f t="array" ref="M10">_xlfn.IFS(J10="PASS",1,I10="PASS",0.75,H10="PASS",0.5,G10="PASS",0.25,G10="FAIL",0)</f>
        <v>1</v>
      </c>
    </row>
    <row r="11" spans="1:24" ht="22.5" customHeight="1" x14ac:dyDescent="0.25">
      <c r="A11" s="7" t="s">
        <v>23</v>
      </c>
      <c r="B11" s="7" t="s">
        <v>10</v>
      </c>
      <c r="C11" s="8" t="s">
        <v>11</v>
      </c>
      <c r="D11" s="7">
        <v>165</v>
      </c>
      <c r="E11" s="9" t="s">
        <v>25</v>
      </c>
      <c r="F11" s="10" t="s">
        <v>13</v>
      </c>
      <c r="G11" s="11" t="s">
        <v>14</v>
      </c>
      <c r="H11" s="11" t="s">
        <v>14</v>
      </c>
      <c r="I11" s="11" t="s">
        <v>14</v>
      </c>
      <c r="J11" s="11" t="s">
        <v>14</v>
      </c>
      <c r="M11" cm="1">
        <f t="array" ref="M11">_xlfn.IFS(J11="PASS",1,I11="PASS",0.75,H11="PASS",0.5,G11="PASS",0.25,G11="FAIL",0)</f>
        <v>1</v>
      </c>
    </row>
    <row r="12" spans="1:24" ht="22.5" customHeight="1" x14ac:dyDescent="0.25">
      <c r="A12" s="13" t="s">
        <v>23</v>
      </c>
      <c r="B12" s="13" t="s">
        <v>10</v>
      </c>
      <c r="C12" s="14" t="s">
        <v>11</v>
      </c>
      <c r="D12" s="13">
        <v>165</v>
      </c>
      <c r="E12" s="15" t="s">
        <v>26</v>
      </c>
      <c r="F12" s="16" t="s">
        <v>13</v>
      </c>
      <c r="G12" s="17" t="s">
        <v>14</v>
      </c>
      <c r="H12" s="17" t="s">
        <v>14</v>
      </c>
      <c r="I12" s="17" t="s">
        <v>14</v>
      </c>
      <c r="J12" s="17" t="s">
        <v>14</v>
      </c>
      <c r="K12" s="13"/>
      <c r="L12" s="13"/>
      <c r="M12" cm="1">
        <f t="array" ref="M12">_xlfn.IFS(J12="PASS",1,I12="PASS",0.75,H12="PASS",0.5,G12="PASS",0.25,G12="FAIL",0)</f>
        <v>1</v>
      </c>
      <c r="N12" s="13"/>
      <c r="O12" s="13"/>
      <c r="P12" s="13"/>
      <c r="Q12" s="13"/>
    </row>
    <row r="13" spans="1:24" ht="22.5" customHeight="1" x14ac:dyDescent="0.25">
      <c r="A13" s="7" t="s">
        <v>9</v>
      </c>
      <c r="B13" s="7" t="s">
        <v>10</v>
      </c>
      <c r="C13" s="8" t="s">
        <v>11</v>
      </c>
      <c r="D13" s="7">
        <v>138</v>
      </c>
      <c r="E13" s="9" t="s">
        <v>12</v>
      </c>
      <c r="F13" s="8" t="s">
        <v>27</v>
      </c>
      <c r="G13" s="11" t="s">
        <v>14</v>
      </c>
      <c r="H13" s="11" t="s">
        <v>14</v>
      </c>
      <c r="I13" s="11" t="s">
        <v>14</v>
      </c>
      <c r="J13" s="11" t="s">
        <v>14</v>
      </c>
      <c r="M13" cm="1">
        <f t="array" ref="M13">_xlfn.IFS(J13="PASS",1,I13="PASS",0.75,H13="PASS",0.5,G13="PASS",0.25,G13="FAIL",0)</f>
        <v>1</v>
      </c>
    </row>
    <row r="14" spans="1:24" ht="22.5" customHeight="1" x14ac:dyDescent="0.25">
      <c r="A14" s="7" t="s">
        <v>15</v>
      </c>
      <c r="B14" s="7" t="s">
        <v>10</v>
      </c>
      <c r="C14" s="8" t="s">
        <v>11</v>
      </c>
      <c r="D14" s="7">
        <v>156</v>
      </c>
      <c r="E14" s="9" t="s">
        <v>16</v>
      </c>
      <c r="F14" s="8" t="s">
        <v>27</v>
      </c>
      <c r="G14" s="11" t="s">
        <v>14</v>
      </c>
      <c r="H14" s="11" t="s">
        <v>14</v>
      </c>
      <c r="I14" s="11" t="s">
        <v>14</v>
      </c>
      <c r="J14" s="11" t="s">
        <v>14</v>
      </c>
      <c r="M14" cm="1">
        <f t="array" ref="M14">_xlfn.IFS(J14="PASS",1,I14="PASS",0.75,H14="PASS",0.5,G14="PASS",0.25,G14="FAIL",0)</f>
        <v>1</v>
      </c>
    </row>
    <row r="15" spans="1:24" ht="22.5" customHeight="1" x14ac:dyDescent="0.25">
      <c r="A15" s="7" t="s">
        <v>15</v>
      </c>
      <c r="B15" s="7" t="s">
        <v>10</v>
      </c>
      <c r="C15" s="8" t="s">
        <v>11</v>
      </c>
      <c r="D15" s="7">
        <v>156</v>
      </c>
      <c r="E15" s="9" t="s">
        <v>18</v>
      </c>
      <c r="F15" s="8" t="s">
        <v>27</v>
      </c>
      <c r="G15" s="11" t="s">
        <v>14</v>
      </c>
      <c r="H15" s="11" t="s">
        <v>14</v>
      </c>
      <c r="I15" s="11" t="s">
        <v>14</v>
      </c>
      <c r="J15" s="11" t="s">
        <v>14</v>
      </c>
      <c r="M15" cm="1">
        <f t="array" ref="M15">_xlfn.IFS(J15="PASS",1,I15="PASS",0.75,H15="PASS",0.5,G15="PASS",0.25,G15="FAIL",0)</f>
        <v>1</v>
      </c>
    </row>
    <row r="16" spans="1:24" ht="22.5" customHeight="1" x14ac:dyDescent="0.25">
      <c r="A16" s="7" t="s">
        <v>19</v>
      </c>
      <c r="B16" s="7" t="s">
        <v>10</v>
      </c>
      <c r="C16" s="8" t="s">
        <v>11</v>
      </c>
      <c r="D16" s="7">
        <v>130</v>
      </c>
      <c r="E16" s="9" t="s">
        <v>20</v>
      </c>
      <c r="F16" s="8" t="s">
        <v>27</v>
      </c>
      <c r="G16" s="11" t="s">
        <v>14</v>
      </c>
      <c r="H16" s="11" t="s">
        <v>14</v>
      </c>
      <c r="I16" s="11" t="s">
        <v>14</v>
      </c>
      <c r="J16" s="11" t="s">
        <v>14</v>
      </c>
      <c r="M16" cm="1">
        <f t="array" ref="M16">_xlfn.IFS(J16="PASS",1,I16="PASS",0.75,H16="PASS",0.5,G16="PASS",0.25,G16="FAIL",0)</f>
        <v>1</v>
      </c>
    </row>
    <row r="17" spans="1:17" ht="22.5" customHeight="1" x14ac:dyDescent="0.25">
      <c r="A17" s="7" t="s">
        <v>19</v>
      </c>
      <c r="B17" s="7" t="s">
        <v>10</v>
      </c>
      <c r="C17" s="8" t="s">
        <v>11</v>
      </c>
      <c r="D17" s="7">
        <v>130</v>
      </c>
      <c r="E17" s="9" t="s">
        <v>21</v>
      </c>
      <c r="F17" s="8" t="s">
        <v>27</v>
      </c>
      <c r="G17" s="11" t="s">
        <v>14</v>
      </c>
      <c r="H17" s="11" t="s">
        <v>14</v>
      </c>
      <c r="I17" s="11" t="s">
        <v>14</v>
      </c>
      <c r="J17" s="11" t="s">
        <v>14</v>
      </c>
      <c r="M17" cm="1">
        <f t="array" ref="M17">_xlfn.IFS(J17="PASS",1,I17="PASS",0.75,H17="PASS",0.5,G17="PASS",0.25,G17="FAIL",0)</f>
        <v>1</v>
      </c>
    </row>
    <row r="18" spans="1:17" ht="22.5" customHeight="1" x14ac:dyDescent="0.25">
      <c r="A18" s="7" t="s">
        <v>19</v>
      </c>
      <c r="B18" s="7" t="s">
        <v>10</v>
      </c>
      <c r="C18" s="8" t="s">
        <v>11</v>
      </c>
      <c r="D18" s="7">
        <v>130</v>
      </c>
      <c r="E18" s="9" t="s">
        <v>22</v>
      </c>
      <c r="F18" s="8" t="s">
        <v>27</v>
      </c>
      <c r="G18" s="11" t="s">
        <v>14</v>
      </c>
      <c r="H18" s="11" t="s">
        <v>14</v>
      </c>
      <c r="I18" s="11" t="s">
        <v>14</v>
      </c>
      <c r="J18" s="11" t="s">
        <v>14</v>
      </c>
      <c r="M18" cm="1">
        <f t="array" ref="M18">_xlfn.IFS(J18="PASS",1,I18="PASS",0.75,H18="PASS",0.5,G18="PASS",0.25,G18="FAIL",0)</f>
        <v>1</v>
      </c>
    </row>
    <row r="19" spans="1:17" ht="22.5" customHeight="1" x14ac:dyDescent="0.25">
      <c r="A19" s="7" t="s">
        <v>23</v>
      </c>
      <c r="B19" s="7" t="s">
        <v>10</v>
      </c>
      <c r="C19" s="8" t="s">
        <v>11</v>
      </c>
      <c r="D19" s="7">
        <v>165</v>
      </c>
      <c r="E19" s="9" t="s">
        <v>24</v>
      </c>
      <c r="F19" s="8" t="s">
        <v>27</v>
      </c>
      <c r="G19" s="11" t="s">
        <v>14</v>
      </c>
      <c r="H19" s="11" t="s">
        <v>14</v>
      </c>
      <c r="I19" s="11" t="s">
        <v>14</v>
      </c>
      <c r="J19" s="11" t="s">
        <v>14</v>
      </c>
      <c r="M19" cm="1">
        <f t="array" ref="M19">_xlfn.IFS(J19="PASS",1,I19="PASS",0.75,H19="PASS",0.5,G19="PASS",0.25,G19="FAIL",0)</f>
        <v>1</v>
      </c>
    </row>
    <row r="20" spans="1:17" ht="22.5" customHeight="1" x14ac:dyDescent="0.25">
      <c r="A20" s="7" t="s">
        <v>23</v>
      </c>
      <c r="B20" s="7" t="s">
        <v>10</v>
      </c>
      <c r="C20" s="8" t="s">
        <v>11</v>
      </c>
      <c r="D20" s="7">
        <v>165</v>
      </c>
      <c r="E20" s="9" t="s">
        <v>25</v>
      </c>
      <c r="F20" s="8" t="s">
        <v>27</v>
      </c>
      <c r="G20" s="11" t="s">
        <v>14</v>
      </c>
      <c r="H20" s="11" t="s">
        <v>14</v>
      </c>
      <c r="I20" s="11" t="s">
        <v>14</v>
      </c>
      <c r="J20" s="11" t="s">
        <v>14</v>
      </c>
      <c r="M20" cm="1">
        <f t="array" ref="M20">_xlfn.IFS(J20="PASS",1,I20="PASS",0.75,H20="PASS",0.5,G20="PASS",0.25,G20="FAIL",0)</f>
        <v>1</v>
      </c>
    </row>
    <row r="21" spans="1:17" ht="22.5" customHeight="1" x14ac:dyDescent="0.25">
      <c r="A21" s="13" t="s">
        <v>23</v>
      </c>
      <c r="B21" s="13" t="s">
        <v>10</v>
      </c>
      <c r="C21" s="14" t="s">
        <v>11</v>
      </c>
      <c r="D21" s="13">
        <v>165</v>
      </c>
      <c r="E21" s="15" t="s">
        <v>26</v>
      </c>
      <c r="F21" s="14" t="s">
        <v>27</v>
      </c>
      <c r="G21" s="17" t="s">
        <v>14</v>
      </c>
      <c r="H21" s="17" t="s">
        <v>14</v>
      </c>
      <c r="I21" s="17" t="s">
        <v>14</v>
      </c>
      <c r="J21" s="17" t="s">
        <v>14</v>
      </c>
      <c r="K21" s="13"/>
      <c r="L21" s="13"/>
      <c r="M21" cm="1">
        <f t="array" ref="M21">_xlfn.IFS(J21="PASS",1,I21="PASS",0.75,H21="PASS",0.5,G21="PASS",0.25,G21="FAIL",0)</f>
        <v>1</v>
      </c>
      <c r="N21" s="13"/>
      <c r="O21" s="13"/>
      <c r="P21" s="13"/>
      <c r="Q21" s="13"/>
    </row>
    <row r="22" spans="1:17" ht="22.5" customHeight="1" x14ac:dyDescent="0.25">
      <c r="A22" s="7" t="s">
        <v>9</v>
      </c>
      <c r="B22" s="7" t="s">
        <v>10</v>
      </c>
      <c r="C22" s="8" t="s">
        <v>11</v>
      </c>
      <c r="D22" s="7">
        <v>138</v>
      </c>
      <c r="E22" s="9" t="s">
        <v>12</v>
      </c>
      <c r="F22" s="18" t="s">
        <v>28</v>
      </c>
      <c r="G22" s="11" t="s">
        <v>14</v>
      </c>
      <c r="H22" s="11" t="s">
        <v>14</v>
      </c>
      <c r="I22" s="11" t="s">
        <v>14</v>
      </c>
      <c r="J22" s="11" t="s">
        <v>14</v>
      </c>
      <c r="M22" cm="1">
        <f t="array" ref="M22">_xlfn.IFS(J22="PASS",1,I22="PASS",0.75,H22="PASS",0.5,G22="PASS",0.25,G22="FAIL",0)</f>
        <v>1</v>
      </c>
    </row>
    <row r="23" spans="1:17" ht="22.5" customHeight="1" x14ac:dyDescent="0.25">
      <c r="A23" s="7" t="s">
        <v>15</v>
      </c>
      <c r="B23" s="7" t="s">
        <v>10</v>
      </c>
      <c r="C23" s="8" t="s">
        <v>11</v>
      </c>
      <c r="D23" s="7">
        <v>156</v>
      </c>
      <c r="E23" s="9" t="s">
        <v>16</v>
      </c>
      <c r="F23" s="18" t="s">
        <v>28</v>
      </c>
      <c r="G23" s="11" t="s">
        <v>14</v>
      </c>
      <c r="H23" s="11" t="s">
        <v>14</v>
      </c>
      <c r="I23" s="11" t="s">
        <v>14</v>
      </c>
      <c r="J23" s="11" t="s">
        <v>14</v>
      </c>
      <c r="M23" cm="1">
        <f t="array" ref="M23">_xlfn.IFS(J23="PASS",1,I23="PASS",0.75,H23="PASS",0.5,G23="PASS",0.25,G23="FAIL",0)</f>
        <v>1</v>
      </c>
    </row>
    <row r="24" spans="1:17" ht="22.5" customHeight="1" x14ac:dyDescent="0.25">
      <c r="A24" s="7" t="s">
        <v>15</v>
      </c>
      <c r="B24" s="7" t="s">
        <v>10</v>
      </c>
      <c r="C24" s="8" t="s">
        <v>11</v>
      </c>
      <c r="D24" s="7">
        <v>156</v>
      </c>
      <c r="E24" s="9" t="s">
        <v>18</v>
      </c>
      <c r="F24" s="18" t="s">
        <v>28</v>
      </c>
      <c r="G24" s="11" t="s">
        <v>14</v>
      </c>
      <c r="H24" s="11" t="s">
        <v>14</v>
      </c>
      <c r="I24" s="11" t="s">
        <v>14</v>
      </c>
      <c r="J24" s="11" t="s">
        <v>14</v>
      </c>
      <c r="M24" cm="1">
        <f t="array" ref="M24">_xlfn.IFS(J24="PASS",1,I24="PASS",0.75,H24="PASS",0.5,G24="PASS",0.25,G24="FAIL",0)</f>
        <v>1</v>
      </c>
    </row>
    <row r="25" spans="1:17" ht="22.5" customHeight="1" x14ac:dyDescent="0.25">
      <c r="A25" s="7" t="s">
        <v>19</v>
      </c>
      <c r="B25" s="7" t="s">
        <v>10</v>
      </c>
      <c r="C25" s="8" t="s">
        <v>11</v>
      </c>
      <c r="D25" s="7">
        <v>130</v>
      </c>
      <c r="E25" s="9" t="s">
        <v>20</v>
      </c>
      <c r="F25" s="18" t="s">
        <v>28</v>
      </c>
      <c r="G25" s="12" t="s">
        <v>17</v>
      </c>
      <c r="H25" s="12" t="s">
        <v>17</v>
      </c>
      <c r="I25" s="11" t="s">
        <v>14</v>
      </c>
      <c r="J25" s="11" t="s">
        <v>14</v>
      </c>
      <c r="M25" cm="1">
        <f t="array" ref="M25">_xlfn.IFS(J25="PASS",1,I25="PASS",0.75,H25="PASS",0.5,G25="PASS",0.25,G25="FAIL",0)</f>
        <v>1</v>
      </c>
    </row>
    <row r="26" spans="1:17" ht="22.5" customHeight="1" x14ac:dyDescent="0.25">
      <c r="A26" s="7" t="s">
        <v>19</v>
      </c>
      <c r="B26" s="7" t="s">
        <v>10</v>
      </c>
      <c r="C26" s="8" t="s">
        <v>11</v>
      </c>
      <c r="D26" s="7">
        <v>130</v>
      </c>
      <c r="E26" s="9" t="s">
        <v>21</v>
      </c>
      <c r="F26" s="18" t="s">
        <v>28</v>
      </c>
      <c r="G26" s="11" t="s">
        <v>14</v>
      </c>
      <c r="H26" s="11" t="s">
        <v>14</v>
      </c>
      <c r="I26" s="11" t="s">
        <v>14</v>
      </c>
      <c r="J26" s="11" t="s">
        <v>14</v>
      </c>
      <c r="M26" cm="1">
        <f t="array" ref="M26">_xlfn.IFS(J26="PASS",1,I26="PASS",0.75,H26="PASS",0.5,G26="PASS",0.25,G26="FAIL",0)</f>
        <v>1</v>
      </c>
    </row>
    <row r="27" spans="1:17" ht="22.5" customHeight="1" x14ac:dyDescent="0.25">
      <c r="A27" s="7" t="s">
        <v>19</v>
      </c>
      <c r="B27" s="7" t="s">
        <v>10</v>
      </c>
      <c r="C27" s="8" t="s">
        <v>11</v>
      </c>
      <c r="D27" s="7">
        <v>130</v>
      </c>
      <c r="E27" s="9" t="s">
        <v>22</v>
      </c>
      <c r="F27" s="18" t="s">
        <v>28</v>
      </c>
      <c r="G27" s="11" t="s">
        <v>14</v>
      </c>
      <c r="H27" s="11" t="s">
        <v>14</v>
      </c>
      <c r="I27" s="11" t="s">
        <v>14</v>
      </c>
      <c r="J27" s="11" t="s">
        <v>14</v>
      </c>
      <c r="M27" cm="1">
        <f t="array" ref="M27">_xlfn.IFS(J27="PASS",1,I27="PASS",0.75,H27="PASS",0.5,G27="PASS",0.25,G27="FAIL",0)</f>
        <v>1</v>
      </c>
    </row>
    <row r="28" spans="1:17" ht="22.5" customHeight="1" x14ac:dyDescent="0.25">
      <c r="A28" s="7" t="s">
        <v>23</v>
      </c>
      <c r="B28" s="7" t="s">
        <v>10</v>
      </c>
      <c r="C28" s="8" t="s">
        <v>11</v>
      </c>
      <c r="D28" s="7">
        <v>165</v>
      </c>
      <c r="E28" s="9" t="s">
        <v>24</v>
      </c>
      <c r="F28" s="18" t="s">
        <v>28</v>
      </c>
      <c r="G28" s="11" t="s">
        <v>14</v>
      </c>
      <c r="H28" s="12" t="s">
        <v>17</v>
      </c>
      <c r="I28" s="11" t="s">
        <v>14</v>
      </c>
      <c r="J28" s="11" t="s">
        <v>14</v>
      </c>
      <c r="M28" cm="1">
        <f t="array" ref="M28">_xlfn.IFS(J28="PASS",1,I28="PASS",0.75,H28="PASS",0.5,G28="PASS",0.25,G28="FAIL",0)</f>
        <v>1</v>
      </c>
    </row>
    <row r="29" spans="1:17" ht="22.5" customHeight="1" x14ac:dyDescent="0.25">
      <c r="A29" s="7" t="s">
        <v>23</v>
      </c>
      <c r="B29" s="7" t="s">
        <v>10</v>
      </c>
      <c r="C29" s="8" t="s">
        <v>11</v>
      </c>
      <c r="D29" s="7">
        <v>165</v>
      </c>
      <c r="E29" s="9" t="s">
        <v>25</v>
      </c>
      <c r="F29" s="18" t="s">
        <v>28</v>
      </c>
      <c r="G29" s="11" t="s">
        <v>14</v>
      </c>
      <c r="H29" s="11" t="s">
        <v>14</v>
      </c>
      <c r="I29" s="11" t="s">
        <v>14</v>
      </c>
      <c r="J29" s="11" t="s">
        <v>14</v>
      </c>
      <c r="M29" cm="1">
        <f t="array" ref="M29">_xlfn.IFS(J29="PASS",1,I29="PASS",0.75,H29="PASS",0.5,G29="PASS",0.25,G29="FAIL",0)</f>
        <v>1</v>
      </c>
    </row>
    <row r="30" spans="1:17" ht="22.5" customHeight="1" x14ac:dyDescent="0.25">
      <c r="A30" s="13" t="s">
        <v>23</v>
      </c>
      <c r="B30" s="13" t="s">
        <v>10</v>
      </c>
      <c r="C30" s="14" t="s">
        <v>11</v>
      </c>
      <c r="D30" s="13">
        <v>165</v>
      </c>
      <c r="E30" s="15" t="s">
        <v>26</v>
      </c>
      <c r="F30" s="19" t="s">
        <v>28</v>
      </c>
      <c r="G30" s="17" t="s">
        <v>14</v>
      </c>
      <c r="H30" s="17" t="s">
        <v>14</v>
      </c>
      <c r="I30" s="17" t="s">
        <v>14</v>
      </c>
      <c r="J30" s="17" t="s">
        <v>14</v>
      </c>
      <c r="K30" s="13"/>
      <c r="L30" s="13"/>
      <c r="M30" cm="1">
        <f t="array" ref="M30">_xlfn.IFS(J30="PASS",1,I30="PASS",0.75,H30="PASS",0.5,G30="PASS",0.25,G30="FAIL",0)</f>
        <v>1</v>
      </c>
      <c r="N30" s="13"/>
      <c r="O30" s="13"/>
      <c r="P30" s="13"/>
      <c r="Q30" s="13"/>
    </row>
    <row r="31" spans="1:17" ht="22.5" customHeight="1" x14ac:dyDescent="0.25">
      <c r="A31" s="7" t="s">
        <v>9</v>
      </c>
      <c r="B31" s="7" t="s">
        <v>10</v>
      </c>
      <c r="C31" s="8" t="s">
        <v>11</v>
      </c>
      <c r="D31" s="7">
        <v>138</v>
      </c>
      <c r="E31" s="9" t="s">
        <v>12</v>
      </c>
      <c r="F31" s="20" t="s">
        <v>29</v>
      </c>
      <c r="G31" s="11" t="s">
        <v>14</v>
      </c>
      <c r="H31" s="11" t="s">
        <v>14</v>
      </c>
      <c r="I31" s="11" t="s">
        <v>14</v>
      </c>
      <c r="J31" s="11" t="s">
        <v>14</v>
      </c>
      <c r="M31" cm="1">
        <f t="array" ref="M31">_xlfn.IFS(J31="PASS",1,I31="PASS",0.75,H31="PASS",0.5,G31="PASS",0.25,G31="FAIL",0)</f>
        <v>1</v>
      </c>
    </row>
    <row r="32" spans="1:17" ht="22.5" customHeight="1" x14ac:dyDescent="0.25">
      <c r="A32" s="7" t="s">
        <v>15</v>
      </c>
      <c r="B32" s="7" t="s">
        <v>10</v>
      </c>
      <c r="C32" s="8" t="s">
        <v>11</v>
      </c>
      <c r="D32" s="7">
        <v>156</v>
      </c>
      <c r="E32" s="9" t="s">
        <v>16</v>
      </c>
      <c r="F32" s="20" t="s">
        <v>29</v>
      </c>
      <c r="G32" s="11" t="s">
        <v>14</v>
      </c>
      <c r="H32" s="11" t="s">
        <v>14</v>
      </c>
      <c r="I32" s="11" t="s">
        <v>14</v>
      </c>
      <c r="J32" s="11" t="s">
        <v>14</v>
      </c>
      <c r="M32" cm="1">
        <f t="array" ref="M32">_xlfn.IFS(J32="PASS",1,I32="PASS",0.75,H32="PASS",0.5,G32="PASS",0.25,G32="FAIL",0)</f>
        <v>1</v>
      </c>
    </row>
    <row r="33" spans="1:13" ht="22.5" customHeight="1" x14ac:dyDescent="0.25">
      <c r="A33" s="7" t="s">
        <v>15</v>
      </c>
      <c r="B33" s="7" t="s">
        <v>10</v>
      </c>
      <c r="C33" s="8" t="s">
        <v>11</v>
      </c>
      <c r="D33" s="7">
        <v>156</v>
      </c>
      <c r="E33" s="9" t="s">
        <v>18</v>
      </c>
      <c r="F33" s="20" t="s">
        <v>29</v>
      </c>
      <c r="G33" s="11" t="s">
        <v>14</v>
      </c>
      <c r="H33" s="11" t="s">
        <v>14</v>
      </c>
      <c r="I33" s="11" t="s">
        <v>14</v>
      </c>
      <c r="J33" s="11" t="s">
        <v>14</v>
      </c>
      <c r="M33" cm="1">
        <f t="array" ref="M33">_xlfn.IFS(J33="PASS",1,I33="PASS",0.75,H33="PASS",0.5,G33="PASS",0.25,G33="FAIL",0)</f>
        <v>1</v>
      </c>
    </row>
    <row r="34" spans="1:13" ht="22.5" customHeight="1" x14ac:dyDescent="0.25">
      <c r="A34" s="7" t="s">
        <v>19</v>
      </c>
      <c r="B34" s="7" t="s">
        <v>10</v>
      </c>
      <c r="C34" s="8" t="s">
        <v>11</v>
      </c>
      <c r="D34" s="7">
        <v>130</v>
      </c>
      <c r="E34" s="9" t="s">
        <v>20</v>
      </c>
      <c r="F34" s="20" t="s">
        <v>29</v>
      </c>
      <c r="G34" s="11" t="s">
        <v>14</v>
      </c>
      <c r="H34" s="11" t="s">
        <v>14</v>
      </c>
      <c r="I34" s="11" t="s">
        <v>14</v>
      </c>
      <c r="J34" s="11" t="s">
        <v>14</v>
      </c>
      <c r="M34" cm="1">
        <f t="array" ref="M34">_xlfn.IFS(J34="PASS",1,I34="PASS",0.75,H34="PASS",0.5,G34="PASS",0.25,G34="FAIL",0)</f>
        <v>1</v>
      </c>
    </row>
    <row r="35" spans="1:13" ht="22.5" customHeight="1" x14ac:dyDescent="0.25">
      <c r="A35" s="7" t="s">
        <v>19</v>
      </c>
      <c r="B35" s="7" t="s">
        <v>10</v>
      </c>
      <c r="C35" s="8" t="s">
        <v>11</v>
      </c>
      <c r="D35" s="7">
        <v>130</v>
      </c>
      <c r="E35" s="9" t="s">
        <v>21</v>
      </c>
      <c r="F35" s="20" t="s">
        <v>29</v>
      </c>
      <c r="G35" s="11" t="s">
        <v>14</v>
      </c>
      <c r="H35" s="11" t="s">
        <v>14</v>
      </c>
      <c r="I35" s="11" t="s">
        <v>14</v>
      </c>
      <c r="J35" s="11" t="s">
        <v>14</v>
      </c>
      <c r="M35" cm="1">
        <f t="array" ref="M35">_xlfn.IFS(J35="PASS",1,I35="PASS",0.75,H35="PASS",0.5,G35="PASS",0.25,G35="FAIL",0)</f>
        <v>1</v>
      </c>
    </row>
    <row r="36" spans="1:13" ht="22.5" customHeight="1" x14ac:dyDescent="0.25">
      <c r="A36" s="7" t="s">
        <v>19</v>
      </c>
      <c r="B36" s="7" t="s">
        <v>10</v>
      </c>
      <c r="C36" s="8" t="s">
        <v>11</v>
      </c>
      <c r="D36" s="7">
        <v>130</v>
      </c>
      <c r="E36" s="9" t="s">
        <v>22</v>
      </c>
      <c r="F36" s="20" t="s">
        <v>29</v>
      </c>
      <c r="G36" s="11" t="s">
        <v>14</v>
      </c>
      <c r="H36" s="11" t="s">
        <v>14</v>
      </c>
      <c r="I36" s="11" t="s">
        <v>14</v>
      </c>
      <c r="J36" s="11" t="s">
        <v>14</v>
      </c>
      <c r="M36" cm="1">
        <f t="array" ref="M36">_xlfn.IFS(J36="PASS",1,I36="PASS",0.75,H36="PASS",0.5,G36="PASS",0.25,G36="FAIL",0)</f>
        <v>1</v>
      </c>
    </row>
    <row r="37" spans="1:13" ht="22.5" customHeight="1" x14ac:dyDescent="0.25">
      <c r="A37" s="7" t="s">
        <v>23</v>
      </c>
      <c r="B37" s="7" t="s">
        <v>10</v>
      </c>
      <c r="C37" s="8" t="s">
        <v>11</v>
      </c>
      <c r="D37" s="7">
        <v>165</v>
      </c>
      <c r="E37" s="9" t="s">
        <v>24</v>
      </c>
      <c r="F37" s="20" t="s">
        <v>29</v>
      </c>
      <c r="G37" s="11" t="s">
        <v>14</v>
      </c>
      <c r="H37" s="11" t="s">
        <v>14</v>
      </c>
      <c r="I37" s="11" t="s">
        <v>14</v>
      </c>
      <c r="J37" s="11" t="s">
        <v>14</v>
      </c>
      <c r="M37" cm="1">
        <f t="array" ref="M37">_xlfn.IFS(J37="PASS",1,I37="PASS",0.75,H37="PASS",0.5,G37="PASS",0.25,G37="FAIL",0)</f>
        <v>1</v>
      </c>
    </row>
    <row r="38" spans="1:13" ht="22.5" customHeight="1" x14ac:dyDescent="0.25">
      <c r="A38" s="7" t="s">
        <v>23</v>
      </c>
      <c r="B38" s="7" t="s">
        <v>10</v>
      </c>
      <c r="C38" s="8" t="s">
        <v>11</v>
      </c>
      <c r="D38" s="7">
        <v>165</v>
      </c>
      <c r="E38" s="9" t="s">
        <v>25</v>
      </c>
      <c r="F38" s="20" t="s">
        <v>29</v>
      </c>
      <c r="G38" s="11" t="s">
        <v>14</v>
      </c>
      <c r="H38" s="11" t="s">
        <v>14</v>
      </c>
      <c r="I38" s="11" t="s">
        <v>14</v>
      </c>
      <c r="J38" s="11" t="s">
        <v>14</v>
      </c>
      <c r="M38" cm="1">
        <f t="array" ref="M38">_xlfn.IFS(J38="PASS",1,I38="PASS",0.75,H38="PASS",0.5,G38="PASS",0.25,G38="FAIL",0)</f>
        <v>1</v>
      </c>
    </row>
    <row r="39" spans="1:13" ht="22.5" customHeight="1" x14ac:dyDescent="0.25">
      <c r="A39" s="7" t="s">
        <v>23</v>
      </c>
      <c r="B39" s="7" t="s">
        <v>10</v>
      </c>
      <c r="C39" s="8" t="s">
        <v>11</v>
      </c>
      <c r="D39" s="7">
        <v>165</v>
      </c>
      <c r="E39" s="9" t="s">
        <v>26</v>
      </c>
      <c r="F39" s="20" t="s">
        <v>29</v>
      </c>
      <c r="G39" s="11" t="s">
        <v>14</v>
      </c>
      <c r="H39" s="11" t="s">
        <v>14</v>
      </c>
      <c r="I39" s="11" t="s">
        <v>14</v>
      </c>
      <c r="J39" s="11" t="s">
        <v>14</v>
      </c>
      <c r="M39" cm="1">
        <f t="array" ref="M39">_xlfn.IFS(J39="PASS",1,I39="PASS",0.75,H39="PASS",0.5,G39="PASS",0.25,G39="FAIL",0)</f>
        <v>1</v>
      </c>
    </row>
    <row r="40" spans="1:13" ht="12.5" x14ac:dyDescent="0.25">
      <c r="G40" s="21">
        <f t="shared" ref="G40:J40" si="0">(COUNTIF(G4:G39,"PASS") / (COUNTIF(G4:G39,"PASS") + COUNTIF(G4:G39,"FAIL"))) * 100</f>
        <v>97.222222222222214</v>
      </c>
      <c r="H40" s="21">
        <f t="shared" si="0"/>
        <v>91.666666666666657</v>
      </c>
      <c r="I40" s="21">
        <f t="shared" si="0"/>
        <v>97.222222222222214</v>
      </c>
      <c r="J40" s="21">
        <f t="shared" si="0"/>
        <v>97.222222222222214</v>
      </c>
    </row>
    <row r="41" spans="1:13" ht="12.5" x14ac:dyDescent="0.25">
      <c r="G41" s="22"/>
      <c r="H41" s="22"/>
      <c r="I41" s="22"/>
      <c r="J41" s="22"/>
    </row>
  </sheetData>
  <mergeCells count="3">
    <mergeCell ref="A2:D2"/>
    <mergeCell ref="E2:F2"/>
    <mergeCell ref="G2:L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X47"/>
  <sheetViews>
    <sheetView workbookViewId="0">
      <selection activeCell="M4" sqref="M4"/>
    </sheetView>
  </sheetViews>
  <sheetFormatPr defaultColWidth="12.6328125" defaultRowHeight="15.75" customHeight="1" x14ac:dyDescent="0.25"/>
  <cols>
    <col min="4" max="4" width="6.90625" customWidth="1"/>
    <col min="5" max="5" width="34.08984375" customWidth="1"/>
    <col min="11" max="12" width="12.6328125" hidden="1"/>
  </cols>
  <sheetData>
    <row r="2" spans="1:24" ht="21" customHeight="1" x14ac:dyDescent="0.35">
      <c r="A2" s="34" t="s">
        <v>0</v>
      </c>
      <c r="B2" s="35"/>
      <c r="C2" s="35"/>
      <c r="D2" s="35"/>
      <c r="E2" s="36"/>
      <c r="F2" s="35"/>
      <c r="G2" s="37"/>
      <c r="H2" s="35"/>
      <c r="I2" s="35"/>
      <c r="J2" s="35"/>
      <c r="K2" s="35"/>
      <c r="L2" s="35"/>
      <c r="M2" s="2"/>
      <c r="N2" s="2"/>
      <c r="O2" s="2"/>
      <c r="P2" s="2"/>
      <c r="Q2" s="2"/>
      <c r="R2" s="2"/>
      <c r="S2" s="2"/>
      <c r="T2" s="2"/>
      <c r="U2" s="2"/>
      <c r="V2" s="2"/>
      <c r="W2" s="2"/>
      <c r="X2" s="2"/>
    </row>
    <row r="3" spans="1:24" ht="20.25" customHeight="1" x14ac:dyDescent="0.3">
      <c r="A3" s="3" t="s">
        <v>2</v>
      </c>
      <c r="B3" s="3" t="s">
        <v>3</v>
      </c>
      <c r="C3" s="3" t="s">
        <v>4</v>
      </c>
      <c r="D3" s="3" t="s">
        <v>5</v>
      </c>
      <c r="E3" s="4" t="s">
        <v>1</v>
      </c>
      <c r="F3" s="3" t="s">
        <v>6</v>
      </c>
      <c r="G3" s="5">
        <v>0.25</v>
      </c>
      <c r="H3" s="5">
        <v>0.5</v>
      </c>
      <c r="I3" s="5">
        <v>0.75</v>
      </c>
      <c r="J3" s="5">
        <v>1</v>
      </c>
      <c r="K3" s="3" t="s">
        <v>7</v>
      </c>
      <c r="L3" s="3" t="s">
        <v>8</v>
      </c>
      <c r="M3" s="6"/>
      <c r="N3" s="6"/>
      <c r="O3" s="6"/>
      <c r="P3" s="6"/>
      <c r="Q3" s="6"/>
      <c r="R3" s="6"/>
      <c r="S3" s="6"/>
      <c r="T3" s="6"/>
      <c r="U3" s="6"/>
      <c r="V3" s="6"/>
      <c r="W3" s="6"/>
      <c r="X3" s="6"/>
    </row>
    <row r="4" spans="1:24" ht="22.5" customHeight="1" x14ac:dyDescent="0.25">
      <c r="A4" s="7" t="s">
        <v>9</v>
      </c>
      <c r="B4" s="7" t="s">
        <v>10</v>
      </c>
      <c r="C4" s="8" t="s">
        <v>11</v>
      </c>
      <c r="D4" s="7">
        <v>445</v>
      </c>
      <c r="E4" s="9" t="s">
        <v>12</v>
      </c>
      <c r="F4" s="10" t="s">
        <v>13</v>
      </c>
      <c r="G4" s="11" t="s">
        <v>14</v>
      </c>
      <c r="H4" s="11" t="s">
        <v>14</v>
      </c>
      <c r="I4" s="11" t="s">
        <v>14</v>
      </c>
      <c r="J4" s="11" t="s">
        <v>14</v>
      </c>
      <c r="M4" cm="1">
        <f t="array" ref="M4">_xlfn.IFS(J4="PASS",1,I4="PASS",0.75,H4="PASS",0.5,G4="PASS",0.25,G4="FAIL",0)</f>
        <v>1</v>
      </c>
    </row>
    <row r="5" spans="1:24" ht="22.5" customHeight="1" x14ac:dyDescent="0.25">
      <c r="A5" s="7" t="s">
        <v>15</v>
      </c>
      <c r="B5" s="7" t="s">
        <v>10</v>
      </c>
      <c r="C5" s="8" t="s">
        <v>11</v>
      </c>
      <c r="D5" s="7">
        <v>430</v>
      </c>
      <c r="E5" s="9" t="s">
        <v>16</v>
      </c>
      <c r="F5" s="10" t="s">
        <v>13</v>
      </c>
      <c r="G5" s="11" t="s">
        <v>14</v>
      </c>
      <c r="H5" s="11" t="s">
        <v>14</v>
      </c>
      <c r="I5" s="11" t="s">
        <v>14</v>
      </c>
      <c r="J5" s="12" t="s">
        <v>17</v>
      </c>
      <c r="M5" cm="1">
        <f t="array" ref="M5">_xlfn.IFS(J5="PASS",1,I5="PASS",0.75,H5="PASS",0.5,G5="PASS",0.25,G5="FAIL",0)</f>
        <v>0.75</v>
      </c>
    </row>
    <row r="6" spans="1:24" ht="22.5" customHeight="1" x14ac:dyDescent="0.25">
      <c r="A6" s="7" t="s">
        <v>15</v>
      </c>
      <c r="B6" s="7" t="s">
        <v>10</v>
      </c>
      <c r="C6" s="8" t="s">
        <v>11</v>
      </c>
      <c r="D6" s="7">
        <v>430</v>
      </c>
      <c r="E6" s="9" t="s">
        <v>18</v>
      </c>
      <c r="F6" s="10" t="s">
        <v>13</v>
      </c>
      <c r="G6" s="11" t="s">
        <v>14</v>
      </c>
      <c r="H6" s="11" t="s">
        <v>14</v>
      </c>
      <c r="I6" s="11" t="s">
        <v>14</v>
      </c>
      <c r="J6" s="11" t="s">
        <v>14</v>
      </c>
      <c r="M6" cm="1">
        <f t="array" ref="M6">_xlfn.IFS(J6="PASS",1,I6="PASS",0.75,H6="PASS",0.5,G6="PASS",0.25,G6="FAIL",0)</f>
        <v>1</v>
      </c>
    </row>
    <row r="7" spans="1:24" ht="22.5" customHeight="1" x14ac:dyDescent="0.25">
      <c r="A7" s="7" t="s">
        <v>19</v>
      </c>
      <c r="B7" s="7" t="s">
        <v>10</v>
      </c>
      <c r="C7" s="8" t="s">
        <v>11</v>
      </c>
      <c r="D7" s="7">
        <v>445</v>
      </c>
      <c r="E7" s="9" t="s">
        <v>20</v>
      </c>
      <c r="F7" s="10" t="s">
        <v>13</v>
      </c>
      <c r="G7" s="11" t="s">
        <v>14</v>
      </c>
      <c r="H7" s="12" t="s">
        <v>17</v>
      </c>
      <c r="I7" s="11" t="s">
        <v>14</v>
      </c>
      <c r="J7" s="12" t="s">
        <v>17</v>
      </c>
      <c r="M7" cm="1">
        <f t="array" ref="M7">_xlfn.IFS(J7="PASS",1,I7="PASS",0.75,H7="PASS",0.5,G7="PASS",0.25,G7="FAIL",0)</f>
        <v>0.75</v>
      </c>
    </row>
    <row r="8" spans="1:24" ht="22.5" customHeight="1" x14ac:dyDescent="0.25">
      <c r="A8" s="7" t="s">
        <v>19</v>
      </c>
      <c r="B8" s="7" t="s">
        <v>10</v>
      </c>
      <c r="C8" s="8" t="s">
        <v>11</v>
      </c>
      <c r="D8" s="7">
        <v>445</v>
      </c>
      <c r="E8" s="9" t="s">
        <v>21</v>
      </c>
      <c r="F8" s="10" t="s">
        <v>13</v>
      </c>
      <c r="G8" s="12" t="s">
        <v>17</v>
      </c>
      <c r="H8" s="12" t="s">
        <v>17</v>
      </c>
      <c r="I8" s="12" t="s">
        <v>17</v>
      </c>
      <c r="J8" s="12" t="s">
        <v>17</v>
      </c>
      <c r="M8" cm="1">
        <f t="array" ref="M8">_xlfn.IFS(J8="PASS",1,I8="PASS",0.75,H8="PASS",0.5,G8="PASS",0.25,G8="FAIL",0)</f>
        <v>0</v>
      </c>
    </row>
    <row r="9" spans="1:24" ht="22.5" customHeight="1" x14ac:dyDescent="0.25">
      <c r="A9" s="7" t="s">
        <v>19</v>
      </c>
      <c r="B9" s="7" t="s">
        <v>10</v>
      </c>
      <c r="C9" s="8" t="s">
        <v>11</v>
      </c>
      <c r="D9" s="7">
        <v>445</v>
      </c>
      <c r="E9" s="9" t="s">
        <v>22</v>
      </c>
      <c r="F9" s="10" t="s">
        <v>13</v>
      </c>
      <c r="G9" s="11" t="s">
        <v>14</v>
      </c>
      <c r="H9" s="11" t="s">
        <v>14</v>
      </c>
      <c r="I9" s="11" t="s">
        <v>14</v>
      </c>
      <c r="J9" s="11" t="s">
        <v>14</v>
      </c>
      <c r="M9" cm="1">
        <f t="array" ref="M9">_xlfn.IFS(J9="PASS",1,I9="PASS",0.75,H9="PASS",0.5,G9="PASS",0.25,G9="FAIL",0)</f>
        <v>1</v>
      </c>
    </row>
    <row r="10" spans="1:24" ht="22.5" customHeight="1" x14ac:dyDescent="0.25">
      <c r="A10" s="7" t="s">
        <v>23</v>
      </c>
      <c r="B10" s="7" t="s">
        <v>10</v>
      </c>
      <c r="C10" s="8" t="s">
        <v>11</v>
      </c>
      <c r="D10" s="7">
        <v>474</v>
      </c>
      <c r="E10" s="9" t="s">
        <v>24</v>
      </c>
      <c r="F10" s="10" t="s">
        <v>13</v>
      </c>
      <c r="G10" s="11" t="s">
        <v>14</v>
      </c>
      <c r="H10" s="11" t="s">
        <v>14</v>
      </c>
      <c r="I10" s="11" t="s">
        <v>14</v>
      </c>
      <c r="J10" s="11" t="s">
        <v>14</v>
      </c>
      <c r="M10" cm="1">
        <f t="array" ref="M10">_xlfn.IFS(J10="PASS",1,I10="PASS",0.75,H10="PASS",0.5,G10="PASS",0.25,G10="FAIL",0)</f>
        <v>1</v>
      </c>
    </row>
    <row r="11" spans="1:24" ht="22.5" customHeight="1" x14ac:dyDescent="0.25">
      <c r="A11" s="7" t="s">
        <v>23</v>
      </c>
      <c r="B11" s="7" t="s">
        <v>10</v>
      </c>
      <c r="C11" s="8" t="s">
        <v>11</v>
      </c>
      <c r="D11" s="7">
        <v>474</v>
      </c>
      <c r="E11" s="9" t="s">
        <v>25</v>
      </c>
      <c r="F11" s="10" t="s">
        <v>13</v>
      </c>
      <c r="G11" s="11" t="s">
        <v>14</v>
      </c>
      <c r="H11" s="11" t="s">
        <v>14</v>
      </c>
      <c r="I11" s="11" t="s">
        <v>14</v>
      </c>
      <c r="J11" s="11" t="s">
        <v>14</v>
      </c>
      <c r="M11" cm="1">
        <f t="array" ref="M11">_xlfn.IFS(J11="PASS",1,I11="PASS",0.75,H11="PASS",0.5,G11="PASS",0.25,G11="FAIL",0)</f>
        <v>1</v>
      </c>
    </row>
    <row r="12" spans="1:24" ht="22.5" customHeight="1" x14ac:dyDescent="0.25">
      <c r="A12" s="13" t="s">
        <v>23</v>
      </c>
      <c r="B12" s="13" t="s">
        <v>10</v>
      </c>
      <c r="C12" s="14" t="s">
        <v>11</v>
      </c>
      <c r="D12" s="13">
        <v>474</v>
      </c>
      <c r="E12" s="15" t="s">
        <v>26</v>
      </c>
      <c r="F12" s="16" t="s">
        <v>13</v>
      </c>
      <c r="G12" s="17" t="s">
        <v>14</v>
      </c>
      <c r="H12" s="17" t="s">
        <v>14</v>
      </c>
      <c r="I12" s="17" t="s">
        <v>14</v>
      </c>
      <c r="J12" s="17" t="s">
        <v>14</v>
      </c>
      <c r="K12" s="13"/>
      <c r="L12" s="13"/>
      <c r="M12" cm="1">
        <f t="array" ref="M12">_xlfn.IFS(J12="PASS",1,I12="PASS",0.75,H12="PASS",0.5,G12="PASS",0.25,G12="FAIL",0)</f>
        <v>1</v>
      </c>
      <c r="N12" s="13"/>
      <c r="O12" s="13"/>
      <c r="P12" s="13"/>
      <c r="Q12" s="13"/>
    </row>
    <row r="13" spans="1:24" ht="22.5" customHeight="1" x14ac:dyDescent="0.25">
      <c r="A13" s="7" t="s">
        <v>9</v>
      </c>
      <c r="B13" s="7" t="s">
        <v>10</v>
      </c>
      <c r="C13" s="8" t="s">
        <v>11</v>
      </c>
      <c r="D13" s="7">
        <v>445</v>
      </c>
      <c r="E13" s="9" t="s">
        <v>12</v>
      </c>
      <c r="F13" s="8" t="s">
        <v>27</v>
      </c>
      <c r="G13" s="11" t="s">
        <v>14</v>
      </c>
      <c r="H13" s="11" t="s">
        <v>14</v>
      </c>
      <c r="I13" s="11" t="s">
        <v>14</v>
      </c>
      <c r="J13" s="11" t="s">
        <v>14</v>
      </c>
      <c r="M13" cm="1">
        <f t="array" ref="M13">_xlfn.IFS(J13="PASS",1,I13="PASS",0.75,H13="PASS",0.5,G13="PASS",0.25,G13="FAIL",0)</f>
        <v>1</v>
      </c>
    </row>
    <row r="14" spans="1:24" ht="22.5" customHeight="1" x14ac:dyDescent="0.25">
      <c r="A14" s="7" t="s">
        <v>15</v>
      </c>
      <c r="B14" s="7" t="s">
        <v>10</v>
      </c>
      <c r="C14" s="8" t="s">
        <v>11</v>
      </c>
      <c r="D14" s="7">
        <v>430</v>
      </c>
      <c r="E14" s="9" t="s">
        <v>16</v>
      </c>
      <c r="F14" s="8" t="s">
        <v>27</v>
      </c>
      <c r="G14" s="11" t="s">
        <v>14</v>
      </c>
      <c r="H14" s="11" t="s">
        <v>14</v>
      </c>
      <c r="I14" s="11" t="s">
        <v>14</v>
      </c>
      <c r="J14" s="11" t="s">
        <v>14</v>
      </c>
      <c r="M14" cm="1">
        <f t="array" ref="M14">_xlfn.IFS(J14="PASS",1,I14="PASS",0.75,H14="PASS",0.5,G14="PASS",0.25,G14="FAIL",0)</f>
        <v>1</v>
      </c>
    </row>
    <row r="15" spans="1:24" ht="22.5" customHeight="1" x14ac:dyDescent="0.25">
      <c r="A15" s="7" t="s">
        <v>15</v>
      </c>
      <c r="B15" s="7" t="s">
        <v>10</v>
      </c>
      <c r="C15" s="8" t="s">
        <v>11</v>
      </c>
      <c r="D15" s="7">
        <v>430</v>
      </c>
      <c r="E15" s="9" t="s">
        <v>18</v>
      </c>
      <c r="F15" s="8" t="s">
        <v>27</v>
      </c>
      <c r="G15" s="11" t="s">
        <v>14</v>
      </c>
      <c r="H15" s="11" t="s">
        <v>14</v>
      </c>
      <c r="I15" s="11" t="s">
        <v>14</v>
      </c>
      <c r="J15" s="11" t="s">
        <v>14</v>
      </c>
      <c r="M15" cm="1">
        <f t="array" ref="M15">_xlfn.IFS(J15="PASS",1,I15="PASS",0.75,H15="PASS",0.5,G15="PASS",0.25,G15="FAIL",0)</f>
        <v>1</v>
      </c>
    </row>
    <row r="16" spans="1:24" ht="22.5" customHeight="1" x14ac:dyDescent="0.25">
      <c r="A16" s="7" t="s">
        <v>19</v>
      </c>
      <c r="B16" s="7" t="s">
        <v>10</v>
      </c>
      <c r="C16" s="8" t="s">
        <v>11</v>
      </c>
      <c r="D16" s="7">
        <v>445</v>
      </c>
      <c r="E16" s="9" t="s">
        <v>20</v>
      </c>
      <c r="F16" s="8" t="s">
        <v>27</v>
      </c>
      <c r="G16" s="11" t="s">
        <v>14</v>
      </c>
      <c r="H16" s="11" t="s">
        <v>14</v>
      </c>
      <c r="I16" s="11" t="s">
        <v>14</v>
      </c>
      <c r="J16" s="11" t="s">
        <v>14</v>
      </c>
      <c r="M16" cm="1">
        <f t="array" ref="M16">_xlfn.IFS(J16="PASS",1,I16="PASS",0.75,H16="PASS",0.5,G16="PASS",0.25,G16="FAIL",0)</f>
        <v>1</v>
      </c>
    </row>
    <row r="17" spans="1:17" ht="22.5" customHeight="1" x14ac:dyDescent="0.25">
      <c r="A17" s="7" t="s">
        <v>19</v>
      </c>
      <c r="B17" s="7" t="s">
        <v>10</v>
      </c>
      <c r="C17" s="8" t="s">
        <v>11</v>
      </c>
      <c r="D17" s="7">
        <v>445</v>
      </c>
      <c r="E17" s="9" t="s">
        <v>21</v>
      </c>
      <c r="F17" s="8" t="s">
        <v>27</v>
      </c>
      <c r="G17" s="11" t="s">
        <v>14</v>
      </c>
      <c r="H17" s="11" t="s">
        <v>14</v>
      </c>
      <c r="I17" s="11" t="s">
        <v>14</v>
      </c>
      <c r="J17" s="11" t="s">
        <v>14</v>
      </c>
      <c r="M17" cm="1">
        <f t="array" ref="M17">_xlfn.IFS(J17="PASS",1,I17="PASS",0.75,H17="PASS",0.5,G17="PASS",0.25,G17="FAIL",0)</f>
        <v>1</v>
      </c>
    </row>
    <row r="18" spans="1:17" ht="22.5" customHeight="1" x14ac:dyDescent="0.25">
      <c r="A18" s="7" t="s">
        <v>19</v>
      </c>
      <c r="B18" s="7" t="s">
        <v>10</v>
      </c>
      <c r="C18" s="8" t="s">
        <v>11</v>
      </c>
      <c r="D18" s="7">
        <v>445</v>
      </c>
      <c r="E18" s="9" t="s">
        <v>22</v>
      </c>
      <c r="F18" s="8" t="s">
        <v>27</v>
      </c>
      <c r="G18" s="11" t="s">
        <v>14</v>
      </c>
      <c r="H18" s="11" t="s">
        <v>14</v>
      </c>
      <c r="I18" s="11" t="s">
        <v>14</v>
      </c>
      <c r="J18" s="11" t="s">
        <v>14</v>
      </c>
      <c r="M18" cm="1">
        <f t="array" ref="M18">_xlfn.IFS(J18="PASS",1,I18="PASS",0.75,H18="PASS",0.5,G18="PASS",0.25,G18="FAIL",0)</f>
        <v>1</v>
      </c>
    </row>
    <row r="19" spans="1:17" ht="22.5" customHeight="1" x14ac:dyDescent="0.25">
      <c r="A19" s="7" t="s">
        <v>23</v>
      </c>
      <c r="B19" s="7" t="s">
        <v>10</v>
      </c>
      <c r="C19" s="8" t="s">
        <v>11</v>
      </c>
      <c r="D19" s="7">
        <v>474</v>
      </c>
      <c r="E19" s="9" t="s">
        <v>24</v>
      </c>
      <c r="F19" s="8" t="s">
        <v>27</v>
      </c>
      <c r="G19" s="11" t="s">
        <v>14</v>
      </c>
      <c r="H19" s="11" t="s">
        <v>14</v>
      </c>
      <c r="I19" s="11" t="s">
        <v>14</v>
      </c>
      <c r="J19" s="11" t="s">
        <v>14</v>
      </c>
      <c r="M19" cm="1">
        <f t="array" ref="M19">_xlfn.IFS(J19="PASS",1,I19="PASS",0.75,H19="PASS",0.5,G19="PASS",0.25,G19="FAIL",0)</f>
        <v>1</v>
      </c>
    </row>
    <row r="20" spans="1:17" ht="22.5" customHeight="1" x14ac:dyDescent="0.25">
      <c r="A20" s="7" t="s">
        <v>23</v>
      </c>
      <c r="B20" s="7" t="s">
        <v>10</v>
      </c>
      <c r="C20" s="8" t="s">
        <v>11</v>
      </c>
      <c r="D20" s="7">
        <v>474</v>
      </c>
      <c r="E20" s="9" t="s">
        <v>25</v>
      </c>
      <c r="F20" s="8" t="s">
        <v>27</v>
      </c>
      <c r="G20" s="11" t="s">
        <v>14</v>
      </c>
      <c r="H20" s="11" t="s">
        <v>14</v>
      </c>
      <c r="I20" s="11" t="s">
        <v>14</v>
      </c>
      <c r="J20" s="11" t="s">
        <v>14</v>
      </c>
      <c r="M20" cm="1">
        <f t="array" ref="M20">_xlfn.IFS(J20="PASS",1,I20="PASS",0.75,H20="PASS",0.5,G20="PASS",0.25,G20="FAIL",0)</f>
        <v>1</v>
      </c>
    </row>
    <row r="21" spans="1:17" ht="22.5" customHeight="1" x14ac:dyDescent="0.25">
      <c r="A21" s="13" t="s">
        <v>23</v>
      </c>
      <c r="B21" s="13" t="s">
        <v>10</v>
      </c>
      <c r="C21" s="14" t="s">
        <v>11</v>
      </c>
      <c r="D21" s="13">
        <v>474</v>
      </c>
      <c r="E21" s="15" t="s">
        <v>26</v>
      </c>
      <c r="F21" s="14" t="s">
        <v>27</v>
      </c>
      <c r="G21" s="17" t="s">
        <v>14</v>
      </c>
      <c r="H21" s="17" t="s">
        <v>14</v>
      </c>
      <c r="I21" s="17" t="s">
        <v>14</v>
      </c>
      <c r="J21" s="17" t="s">
        <v>14</v>
      </c>
      <c r="K21" s="13"/>
      <c r="L21" s="13"/>
      <c r="M21" cm="1">
        <f t="array" ref="M21">_xlfn.IFS(J21="PASS",1,I21="PASS",0.75,H21="PASS",0.5,G21="PASS",0.25,G21="FAIL",0)</f>
        <v>1</v>
      </c>
      <c r="N21" s="13"/>
      <c r="O21" s="13"/>
      <c r="P21" s="13"/>
      <c r="Q21" s="13"/>
    </row>
    <row r="22" spans="1:17" ht="22.5" customHeight="1" x14ac:dyDescent="0.25">
      <c r="A22" s="7" t="s">
        <v>9</v>
      </c>
      <c r="B22" s="7" t="s">
        <v>10</v>
      </c>
      <c r="C22" s="8" t="s">
        <v>11</v>
      </c>
      <c r="D22" s="7">
        <v>445</v>
      </c>
      <c r="E22" s="9" t="s">
        <v>12</v>
      </c>
      <c r="F22" s="18" t="s">
        <v>28</v>
      </c>
      <c r="G22" s="11" t="s">
        <v>14</v>
      </c>
      <c r="H22" s="11" t="s">
        <v>14</v>
      </c>
      <c r="I22" s="11" t="s">
        <v>14</v>
      </c>
      <c r="J22" s="11" t="s">
        <v>14</v>
      </c>
      <c r="M22" cm="1">
        <f t="array" ref="M22">_xlfn.IFS(J22="PASS",1,I22="PASS",0.75,H22="PASS",0.5,G22="PASS",0.25,G22="FAIL",0)</f>
        <v>1</v>
      </c>
    </row>
    <row r="23" spans="1:17" ht="22.5" customHeight="1" x14ac:dyDescent="0.25">
      <c r="A23" s="7" t="s">
        <v>15</v>
      </c>
      <c r="B23" s="7" t="s">
        <v>10</v>
      </c>
      <c r="C23" s="8" t="s">
        <v>11</v>
      </c>
      <c r="D23" s="7">
        <v>430</v>
      </c>
      <c r="E23" s="9" t="s">
        <v>16</v>
      </c>
      <c r="F23" s="18" t="s">
        <v>28</v>
      </c>
      <c r="G23" s="11" t="s">
        <v>14</v>
      </c>
      <c r="H23" s="11" t="s">
        <v>14</v>
      </c>
      <c r="I23" s="11" t="s">
        <v>14</v>
      </c>
      <c r="J23" s="12" t="s">
        <v>17</v>
      </c>
      <c r="M23" cm="1">
        <f t="array" ref="M23">_xlfn.IFS(J23="PASS",1,I23="PASS",0.75,H23="PASS",0.5,G23="PASS",0.25,G23="FAIL",0)</f>
        <v>0.75</v>
      </c>
    </row>
    <row r="24" spans="1:17" ht="22.5" customHeight="1" x14ac:dyDescent="0.25">
      <c r="A24" s="7" t="s">
        <v>15</v>
      </c>
      <c r="B24" s="7" t="s">
        <v>10</v>
      </c>
      <c r="C24" s="8" t="s">
        <v>11</v>
      </c>
      <c r="D24" s="7">
        <v>430</v>
      </c>
      <c r="E24" s="9" t="s">
        <v>18</v>
      </c>
      <c r="F24" s="18" t="s">
        <v>28</v>
      </c>
      <c r="G24" s="11" t="s">
        <v>14</v>
      </c>
      <c r="H24" s="11" t="s">
        <v>14</v>
      </c>
      <c r="I24" s="11" t="s">
        <v>14</v>
      </c>
      <c r="J24" s="11" t="s">
        <v>14</v>
      </c>
      <c r="M24" cm="1">
        <f t="array" ref="M24">_xlfn.IFS(J24="PASS",1,I24="PASS",0.75,H24="PASS",0.5,G24="PASS",0.25,G24="FAIL",0)</f>
        <v>1</v>
      </c>
    </row>
    <row r="25" spans="1:17" ht="22.5" customHeight="1" x14ac:dyDescent="0.25">
      <c r="A25" s="7" t="s">
        <v>19</v>
      </c>
      <c r="B25" s="7" t="s">
        <v>10</v>
      </c>
      <c r="C25" s="8" t="s">
        <v>11</v>
      </c>
      <c r="D25" s="7">
        <v>445</v>
      </c>
      <c r="E25" s="9" t="s">
        <v>20</v>
      </c>
      <c r="F25" s="18" t="s">
        <v>28</v>
      </c>
      <c r="G25" s="11" t="s">
        <v>14</v>
      </c>
      <c r="H25" s="11" t="s">
        <v>14</v>
      </c>
      <c r="I25" s="12" t="s">
        <v>17</v>
      </c>
      <c r="J25" s="12" t="s">
        <v>17</v>
      </c>
      <c r="M25" cm="1">
        <f t="array" ref="M25">_xlfn.IFS(J25="PASS",1,I25="PASS",0.75,H25="PASS",0.5,G25="PASS",0.25,G25="FAIL",0)</f>
        <v>0.5</v>
      </c>
    </row>
    <row r="26" spans="1:17" ht="22.5" customHeight="1" x14ac:dyDescent="0.25">
      <c r="A26" s="7" t="s">
        <v>19</v>
      </c>
      <c r="B26" s="7" t="s">
        <v>10</v>
      </c>
      <c r="C26" s="8" t="s">
        <v>11</v>
      </c>
      <c r="D26" s="7">
        <v>445</v>
      </c>
      <c r="E26" s="9" t="s">
        <v>21</v>
      </c>
      <c r="F26" s="18" t="s">
        <v>28</v>
      </c>
      <c r="G26" s="11" t="s">
        <v>14</v>
      </c>
      <c r="H26" s="11" t="s">
        <v>14</v>
      </c>
      <c r="I26" s="11" t="s">
        <v>14</v>
      </c>
      <c r="J26" s="11" t="s">
        <v>14</v>
      </c>
      <c r="M26" cm="1">
        <f t="array" ref="M26">_xlfn.IFS(J26="PASS",1,I26="PASS",0.75,H26="PASS",0.5,G26="PASS",0.25,G26="FAIL",0)</f>
        <v>1</v>
      </c>
    </row>
    <row r="27" spans="1:17" ht="22.5" customHeight="1" x14ac:dyDescent="0.25">
      <c r="A27" s="7" t="s">
        <v>19</v>
      </c>
      <c r="B27" s="7" t="s">
        <v>10</v>
      </c>
      <c r="C27" s="8" t="s">
        <v>11</v>
      </c>
      <c r="D27" s="7">
        <v>445</v>
      </c>
      <c r="E27" s="9" t="s">
        <v>22</v>
      </c>
      <c r="F27" s="18" t="s">
        <v>28</v>
      </c>
      <c r="G27" s="11" t="s">
        <v>14</v>
      </c>
      <c r="H27" s="11" t="s">
        <v>14</v>
      </c>
      <c r="I27" s="11" t="s">
        <v>14</v>
      </c>
      <c r="J27" s="11" t="s">
        <v>14</v>
      </c>
      <c r="M27" cm="1">
        <f t="array" ref="M27">_xlfn.IFS(J27="PASS",1,I27="PASS",0.75,H27="PASS",0.5,G27="PASS",0.25,G27="FAIL",0)</f>
        <v>1</v>
      </c>
    </row>
    <row r="28" spans="1:17" ht="22.5" customHeight="1" x14ac:dyDescent="0.25">
      <c r="A28" s="7" t="s">
        <v>23</v>
      </c>
      <c r="B28" s="7" t="s">
        <v>10</v>
      </c>
      <c r="C28" s="8" t="s">
        <v>11</v>
      </c>
      <c r="D28" s="7">
        <v>474</v>
      </c>
      <c r="E28" s="9" t="s">
        <v>24</v>
      </c>
      <c r="F28" s="18" t="s">
        <v>28</v>
      </c>
      <c r="G28" s="11" t="s">
        <v>14</v>
      </c>
      <c r="H28" s="11" t="s">
        <v>14</v>
      </c>
      <c r="I28" s="11" t="s">
        <v>14</v>
      </c>
      <c r="J28" s="11" t="s">
        <v>14</v>
      </c>
      <c r="M28" cm="1">
        <f t="array" ref="M28">_xlfn.IFS(J28="PASS",1,I28="PASS",0.75,H28="PASS",0.5,G28="PASS",0.25,G28="FAIL",0)</f>
        <v>1</v>
      </c>
    </row>
    <row r="29" spans="1:17" ht="22.5" customHeight="1" x14ac:dyDescent="0.25">
      <c r="A29" s="7" t="s">
        <v>23</v>
      </c>
      <c r="B29" s="7" t="s">
        <v>10</v>
      </c>
      <c r="C29" s="8" t="s">
        <v>11</v>
      </c>
      <c r="D29" s="7">
        <v>474</v>
      </c>
      <c r="E29" s="9" t="s">
        <v>25</v>
      </c>
      <c r="F29" s="18" t="s">
        <v>28</v>
      </c>
      <c r="G29" s="11" t="s">
        <v>14</v>
      </c>
      <c r="H29" s="11" t="s">
        <v>14</v>
      </c>
      <c r="I29" s="11" t="s">
        <v>14</v>
      </c>
      <c r="J29" s="11" t="s">
        <v>14</v>
      </c>
      <c r="M29" cm="1">
        <f t="array" ref="M29">_xlfn.IFS(J29="PASS",1,I29="PASS",0.75,H29="PASS",0.5,G29="PASS",0.25,G29="FAIL",0)</f>
        <v>1</v>
      </c>
    </row>
    <row r="30" spans="1:17" ht="22.5" customHeight="1" x14ac:dyDescent="0.25">
      <c r="A30" s="13" t="s">
        <v>23</v>
      </c>
      <c r="B30" s="13" t="s">
        <v>10</v>
      </c>
      <c r="C30" s="14" t="s">
        <v>11</v>
      </c>
      <c r="D30" s="13">
        <v>474</v>
      </c>
      <c r="E30" s="15" t="s">
        <v>26</v>
      </c>
      <c r="F30" s="19" t="s">
        <v>28</v>
      </c>
      <c r="G30" s="17" t="s">
        <v>14</v>
      </c>
      <c r="H30" s="17" t="s">
        <v>14</v>
      </c>
      <c r="I30" s="17" t="s">
        <v>14</v>
      </c>
      <c r="J30" s="17" t="s">
        <v>14</v>
      </c>
      <c r="K30" s="13"/>
      <c r="L30" s="13"/>
      <c r="M30" cm="1">
        <f t="array" ref="M30">_xlfn.IFS(J30="PASS",1,I30="PASS",0.75,H30="PASS",0.5,G30="PASS",0.25,G30="FAIL",0)</f>
        <v>1</v>
      </c>
      <c r="N30" s="13"/>
      <c r="O30" s="13"/>
      <c r="P30" s="13"/>
      <c r="Q30" s="13"/>
    </row>
    <row r="31" spans="1:17" ht="22.5" customHeight="1" x14ac:dyDescent="0.25">
      <c r="A31" s="7" t="s">
        <v>9</v>
      </c>
      <c r="B31" s="7" t="s">
        <v>10</v>
      </c>
      <c r="C31" s="8" t="s">
        <v>11</v>
      </c>
      <c r="D31" s="7">
        <v>445</v>
      </c>
      <c r="E31" s="9" t="s">
        <v>12</v>
      </c>
      <c r="F31" s="20" t="s">
        <v>29</v>
      </c>
      <c r="G31" s="11" t="s">
        <v>14</v>
      </c>
      <c r="H31" s="11" t="s">
        <v>14</v>
      </c>
      <c r="I31" s="11" t="s">
        <v>14</v>
      </c>
      <c r="J31" s="11" t="s">
        <v>14</v>
      </c>
      <c r="M31" cm="1">
        <f t="array" ref="M31">_xlfn.IFS(J31="PASS",1,I31="PASS",0.75,H31="PASS",0.5,G31="PASS",0.25,G31="FAIL",0)</f>
        <v>1</v>
      </c>
    </row>
    <row r="32" spans="1:17" ht="22.5" customHeight="1" x14ac:dyDescent="0.25">
      <c r="A32" s="7" t="s">
        <v>15</v>
      </c>
      <c r="B32" s="7" t="s">
        <v>10</v>
      </c>
      <c r="C32" s="8" t="s">
        <v>11</v>
      </c>
      <c r="D32" s="7">
        <v>430</v>
      </c>
      <c r="E32" s="9" t="s">
        <v>16</v>
      </c>
      <c r="F32" s="20" t="s">
        <v>29</v>
      </c>
      <c r="G32" s="11" t="s">
        <v>14</v>
      </c>
      <c r="H32" s="11" t="s">
        <v>14</v>
      </c>
      <c r="I32" s="11" t="s">
        <v>14</v>
      </c>
      <c r="J32" s="11" t="s">
        <v>14</v>
      </c>
      <c r="M32" cm="1">
        <f t="array" ref="M32">_xlfn.IFS(J32="PASS",1,I32="PASS",0.75,H32="PASS",0.5,G32="PASS",0.25,G32="FAIL",0)</f>
        <v>1</v>
      </c>
    </row>
    <row r="33" spans="1:13" ht="22.5" customHeight="1" x14ac:dyDescent="0.25">
      <c r="A33" s="7" t="s">
        <v>15</v>
      </c>
      <c r="B33" s="7" t="s">
        <v>10</v>
      </c>
      <c r="C33" s="8" t="s">
        <v>11</v>
      </c>
      <c r="D33" s="7">
        <v>430</v>
      </c>
      <c r="E33" s="9" t="s">
        <v>18</v>
      </c>
      <c r="F33" s="20" t="s">
        <v>29</v>
      </c>
      <c r="G33" s="11" t="s">
        <v>14</v>
      </c>
      <c r="H33" s="11" t="s">
        <v>14</v>
      </c>
      <c r="I33" s="11" t="s">
        <v>14</v>
      </c>
      <c r="J33" s="11" t="s">
        <v>14</v>
      </c>
      <c r="M33" cm="1">
        <f t="array" ref="M33">_xlfn.IFS(J33="PASS",1,I33="PASS",0.75,H33="PASS",0.5,G33="PASS",0.25,G33="FAIL",0)</f>
        <v>1</v>
      </c>
    </row>
    <row r="34" spans="1:13" ht="22.5" customHeight="1" x14ac:dyDescent="0.25">
      <c r="A34" s="7" t="s">
        <v>19</v>
      </c>
      <c r="B34" s="7" t="s">
        <v>10</v>
      </c>
      <c r="C34" s="8" t="s">
        <v>11</v>
      </c>
      <c r="D34" s="7">
        <v>445</v>
      </c>
      <c r="E34" s="9" t="s">
        <v>20</v>
      </c>
      <c r="F34" s="20" t="s">
        <v>29</v>
      </c>
      <c r="G34" s="11" t="s">
        <v>14</v>
      </c>
      <c r="H34" s="11" t="s">
        <v>14</v>
      </c>
      <c r="I34" s="11" t="s">
        <v>14</v>
      </c>
      <c r="J34" s="11" t="s">
        <v>14</v>
      </c>
      <c r="M34" cm="1">
        <f t="array" ref="M34">_xlfn.IFS(J34="PASS",1,I34="PASS",0.75,H34="PASS",0.5,G34="PASS",0.25,G34="FAIL",0)</f>
        <v>1</v>
      </c>
    </row>
    <row r="35" spans="1:13" ht="22.5" customHeight="1" x14ac:dyDescent="0.25">
      <c r="A35" s="7" t="s">
        <v>19</v>
      </c>
      <c r="B35" s="7" t="s">
        <v>10</v>
      </c>
      <c r="C35" s="8" t="s">
        <v>11</v>
      </c>
      <c r="D35" s="7">
        <v>445</v>
      </c>
      <c r="E35" s="9" t="s">
        <v>21</v>
      </c>
      <c r="F35" s="20" t="s">
        <v>29</v>
      </c>
      <c r="G35" s="11" t="s">
        <v>14</v>
      </c>
      <c r="H35" s="11" t="s">
        <v>14</v>
      </c>
      <c r="I35" s="11" t="s">
        <v>14</v>
      </c>
      <c r="J35" s="11" t="s">
        <v>14</v>
      </c>
      <c r="M35" cm="1">
        <f t="array" ref="M35">_xlfn.IFS(J35="PASS",1,I35="PASS",0.75,H35="PASS",0.5,G35="PASS",0.25,G35="FAIL",0)</f>
        <v>1</v>
      </c>
    </row>
    <row r="36" spans="1:13" ht="22.5" customHeight="1" x14ac:dyDescent="0.25">
      <c r="A36" s="7" t="s">
        <v>19</v>
      </c>
      <c r="B36" s="7" t="s">
        <v>10</v>
      </c>
      <c r="C36" s="8" t="s">
        <v>11</v>
      </c>
      <c r="D36" s="7">
        <v>445</v>
      </c>
      <c r="E36" s="9" t="s">
        <v>22</v>
      </c>
      <c r="F36" s="20" t="s">
        <v>29</v>
      </c>
      <c r="G36" s="11" t="s">
        <v>14</v>
      </c>
      <c r="H36" s="11" t="s">
        <v>14</v>
      </c>
      <c r="I36" s="11" t="s">
        <v>14</v>
      </c>
      <c r="J36" s="11" t="s">
        <v>14</v>
      </c>
      <c r="M36" cm="1">
        <f t="array" ref="M36">_xlfn.IFS(J36="PASS",1,I36="PASS",0.75,H36="PASS",0.5,G36="PASS",0.25,G36="FAIL",0)</f>
        <v>1</v>
      </c>
    </row>
    <row r="37" spans="1:13" ht="22.5" customHeight="1" x14ac:dyDescent="0.25">
      <c r="A37" s="7" t="s">
        <v>23</v>
      </c>
      <c r="B37" s="7" t="s">
        <v>10</v>
      </c>
      <c r="C37" s="8" t="s">
        <v>11</v>
      </c>
      <c r="D37" s="7">
        <v>474</v>
      </c>
      <c r="E37" s="9" t="s">
        <v>24</v>
      </c>
      <c r="F37" s="20" t="s">
        <v>29</v>
      </c>
      <c r="G37" s="11" t="s">
        <v>14</v>
      </c>
      <c r="H37" s="11" t="s">
        <v>14</v>
      </c>
      <c r="I37" s="11" t="s">
        <v>14</v>
      </c>
      <c r="J37" s="11" t="s">
        <v>14</v>
      </c>
      <c r="M37" cm="1">
        <f t="array" ref="M37">_xlfn.IFS(J37="PASS",1,I37="PASS",0.75,H37="PASS",0.5,G37="PASS",0.25,G37="FAIL",0)</f>
        <v>1</v>
      </c>
    </row>
    <row r="38" spans="1:13" ht="22.5" customHeight="1" x14ac:dyDescent="0.25">
      <c r="A38" s="7" t="s">
        <v>23</v>
      </c>
      <c r="B38" s="7" t="s">
        <v>10</v>
      </c>
      <c r="C38" s="8" t="s">
        <v>11</v>
      </c>
      <c r="D38" s="7">
        <v>474</v>
      </c>
      <c r="E38" s="9" t="s">
        <v>25</v>
      </c>
      <c r="F38" s="20" t="s">
        <v>29</v>
      </c>
      <c r="G38" s="11" t="s">
        <v>14</v>
      </c>
      <c r="H38" s="11" t="s">
        <v>14</v>
      </c>
      <c r="I38" s="11" t="s">
        <v>14</v>
      </c>
      <c r="J38" s="11" t="s">
        <v>14</v>
      </c>
      <c r="M38" cm="1">
        <f t="array" ref="M38">_xlfn.IFS(J38="PASS",1,I38="PASS",0.75,H38="PASS",0.5,G38="PASS",0.25,G38="FAIL",0)</f>
        <v>1</v>
      </c>
    </row>
    <row r="39" spans="1:13" ht="22.5" customHeight="1" x14ac:dyDescent="0.25">
      <c r="A39" s="7" t="s">
        <v>23</v>
      </c>
      <c r="B39" s="7" t="s">
        <v>10</v>
      </c>
      <c r="C39" s="8" t="s">
        <v>11</v>
      </c>
      <c r="D39" s="7">
        <v>474</v>
      </c>
      <c r="E39" s="9" t="s">
        <v>26</v>
      </c>
      <c r="F39" s="20" t="s">
        <v>29</v>
      </c>
      <c r="G39" s="11" t="s">
        <v>14</v>
      </c>
      <c r="H39" s="11" t="s">
        <v>14</v>
      </c>
      <c r="I39" s="11" t="s">
        <v>14</v>
      </c>
      <c r="J39" s="11" t="s">
        <v>14</v>
      </c>
      <c r="M39" cm="1">
        <f t="array" ref="M39">_xlfn.IFS(J39="PASS",1,I39="PASS",0.75,H39="PASS",0.5,G39="PASS",0.25,G39="FAIL",0)</f>
        <v>1</v>
      </c>
    </row>
    <row r="40" spans="1:13" ht="12.5" x14ac:dyDescent="0.25">
      <c r="G40" s="21">
        <f t="shared" ref="G40:J40" si="0">(COUNTIF(G4:G39,"PASS") / (COUNTIF(G4:G39,"PASS") + COUNTIF(G4:G39,"FAIL"))) * 100</f>
        <v>97.222222222222214</v>
      </c>
      <c r="H40" s="21">
        <f t="shared" si="0"/>
        <v>94.444444444444443</v>
      </c>
      <c r="I40" s="21">
        <f t="shared" si="0"/>
        <v>94.444444444444443</v>
      </c>
      <c r="J40" s="21">
        <f t="shared" si="0"/>
        <v>86.111111111111114</v>
      </c>
    </row>
    <row r="41" spans="1:13" ht="12.5" x14ac:dyDescent="0.25">
      <c r="G41" s="22"/>
      <c r="H41" s="22"/>
      <c r="I41" s="22"/>
      <c r="J41" s="22"/>
    </row>
    <row r="46" spans="1:13" ht="12.5" x14ac:dyDescent="0.25">
      <c r="K46" s="7">
        <v>23</v>
      </c>
    </row>
    <row r="47" spans="1:13" ht="12.5" x14ac:dyDescent="0.25">
      <c r="K47" s="7" t="e">
        <f>G47/G46*K46</f>
        <v>#DIV/0!</v>
      </c>
    </row>
  </sheetData>
  <mergeCells count="3">
    <mergeCell ref="A2:D2"/>
    <mergeCell ref="E2:F2"/>
    <mergeCell ref="G2: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AB52"/>
  <sheetViews>
    <sheetView topLeftCell="F1" workbookViewId="0">
      <selection activeCell="S4" sqref="S4"/>
    </sheetView>
  </sheetViews>
  <sheetFormatPr defaultColWidth="12.6328125" defaultRowHeight="15.75" customHeight="1" x14ac:dyDescent="0.25"/>
  <cols>
    <col min="5" max="5" width="38.7265625" customWidth="1"/>
    <col min="14" max="15" width="12.6328125" hidden="1"/>
  </cols>
  <sheetData>
    <row r="2" spans="1:28" ht="21" customHeight="1" x14ac:dyDescent="0.35">
      <c r="A2" s="34" t="s">
        <v>0</v>
      </c>
      <c r="B2" s="35"/>
      <c r="C2" s="35"/>
      <c r="D2" s="35"/>
      <c r="E2" s="36"/>
      <c r="F2" s="35"/>
      <c r="G2" s="37"/>
      <c r="H2" s="35"/>
      <c r="I2" s="35"/>
      <c r="J2" s="35"/>
      <c r="K2" s="35"/>
      <c r="L2" s="35"/>
      <c r="M2" s="35"/>
      <c r="N2" s="35"/>
      <c r="O2" s="35"/>
      <c r="P2" s="23" t="s">
        <v>30</v>
      </c>
      <c r="Q2" s="2"/>
      <c r="R2" s="2"/>
      <c r="S2" s="2"/>
      <c r="T2" s="2"/>
      <c r="U2" s="2"/>
      <c r="V2" s="2"/>
      <c r="W2" s="2"/>
      <c r="X2" s="2"/>
      <c r="Y2" s="2"/>
      <c r="Z2" s="2"/>
      <c r="AA2" s="2"/>
      <c r="AB2" s="2"/>
    </row>
    <row r="3" spans="1:28" ht="20.25" customHeight="1" x14ac:dyDescent="0.3">
      <c r="A3" s="3" t="s">
        <v>2</v>
      </c>
      <c r="B3" s="3" t="s">
        <v>3</v>
      </c>
      <c r="C3" s="3" t="s">
        <v>4</v>
      </c>
      <c r="D3" s="3" t="s">
        <v>5</v>
      </c>
      <c r="E3" s="4" t="s">
        <v>1</v>
      </c>
      <c r="F3" s="3" t="s">
        <v>6</v>
      </c>
      <c r="G3" s="3" t="s">
        <v>31</v>
      </c>
      <c r="H3" s="3" t="s">
        <v>32</v>
      </c>
      <c r="I3" s="3" t="s">
        <v>33</v>
      </c>
      <c r="J3" s="5">
        <v>0.25</v>
      </c>
      <c r="K3" s="5">
        <v>0.5</v>
      </c>
      <c r="L3" s="5">
        <v>0.75</v>
      </c>
      <c r="M3" s="5">
        <v>1</v>
      </c>
      <c r="N3" s="3" t="s">
        <v>7</v>
      </c>
      <c r="O3" s="3" t="s">
        <v>8</v>
      </c>
      <c r="P3" s="3" t="s">
        <v>34</v>
      </c>
      <c r="Q3" s="6"/>
      <c r="R3" s="6"/>
      <c r="S3" s="6"/>
      <c r="T3" s="6"/>
      <c r="U3" s="6"/>
      <c r="V3" s="6"/>
      <c r="W3" s="6"/>
      <c r="X3" s="6"/>
      <c r="Y3" s="6"/>
      <c r="Z3" s="6"/>
      <c r="AA3" s="6"/>
      <c r="AB3" s="6"/>
    </row>
    <row r="4" spans="1:28" ht="22.5" customHeight="1" x14ac:dyDescent="0.25">
      <c r="A4" s="7" t="s">
        <v>9</v>
      </c>
      <c r="B4" s="7" t="s">
        <v>10</v>
      </c>
      <c r="C4" s="8" t="s">
        <v>11</v>
      </c>
      <c r="D4" s="7">
        <v>3004</v>
      </c>
      <c r="E4" s="9" t="s">
        <v>12</v>
      </c>
      <c r="F4" s="10" t="s">
        <v>13</v>
      </c>
      <c r="G4" s="9" t="s">
        <v>35</v>
      </c>
      <c r="H4" s="7" t="s">
        <v>36</v>
      </c>
      <c r="I4" s="7" t="s">
        <v>37</v>
      </c>
      <c r="J4" s="11" t="s">
        <v>14</v>
      </c>
      <c r="K4" s="11" t="s">
        <v>14</v>
      </c>
      <c r="L4" s="11" t="s">
        <v>14</v>
      </c>
      <c r="M4" s="11" t="s">
        <v>14</v>
      </c>
      <c r="P4" s="7" t="s">
        <v>38</v>
      </c>
      <c r="Q4" cm="1">
        <f t="array" ref="Q4">_xlfn.IFS(M4="PASS",1,L4="PASS",0.75,K4="PASS",0.5,J4="PASS",0.25,J4="FAIL",0)</f>
        <v>1</v>
      </c>
    </row>
    <row r="5" spans="1:28" ht="22.5" customHeight="1" x14ac:dyDescent="0.25">
      <c r="A5" s="7" t="s">
        <v>15</v>
      </c>
      <c r="B5" s="7" t="s">
        <v>10</v>
      </c>
      <c r="C5" s="8" t="s">
        <v>11</v>
      </c>
      <c r="D5" s="7">
        <v>3022</v>
      </c>
      <c r="E5" s="9" t="s">
        <v>16</v>
      </c>
      <c r="F5" s="10" t="s">
        <v>13</v>
      </c>
      <c r="G5" s="9" t="s">
        <v>39</v>
      </c>
      <c r="H5" s="7" t="s">
        <v>40</v>
      </c>
      <c r="I5" s="7" t="s">
        <v>37</v>
      </c>
      <c r="J5" s="11" t="s">
        <v>14</v>
      </c>
      <c r="K5" s="11" t="s">
        <v>14</v>
      </c>
      <c r="L5" s="12" t="s">
        <v>17</v>
      </c>
      <c r="M5" s="12" t="s">
        <v>17</v>
      </c>
      <c r="P5" s="7" t="s">
        <v>38</v>
      </c>
      <c r="Q5" cm="1">
        <f t="array" ref="Q5">_xlfn.IFS(M5="PASS",1,L5="PASS",0.75,K5="PASS",0.5,J5="PASS",0.25,J5="FAIL",0)</f>
        <v>0.5</v>
      </c>
    </row>
    <row r="6" spans="1:28" ht="22.5" customHeight="1" x14ac:dyDescent="0.25">
      <c r="A6" s="7" t="s">
        <v>15</v>
      </c>
      <c r="B6" s="7" t="s">
        <v>10</v>
      </c>
      <c r="C6" s="8" t="s">
        <v>11</v>
      </c>
      <c r="D6" s="7">
        <v>3022</v>
      </c>
      <c r="E6" s="9" t="s">
        <v>18</v>
      </c>
      <c r="F6" s="10" t="s">
        <v>13</v>
      </c>
      <c r="G6" s="9" t="s">
        <v>41</v>
      </c>
      <c r="H6" s="7" t="s">
        <v>42</v>
      </c>
      <c r="I6" s="7" t="s">
        <v>37</v>
      </c>
      <c r="J6" s="11" t="s">
        <v>14</v>
      </c>
      <c r="K6" s="11" t="s">
        <v>14</v>
      </c>
      <c r="L6" s="11" t="s">
        <v>14</v>
      </c>
      <c r="M6" s="11" t="s">
        <v>14</v>
      </c>
      <c r="P6" s="7" t="s">
        <v>38</v>
      </c>
      <c r="Q6" cm="1">
        <f t="array" ref="Q6">_xlfn.IFS(M6="PASS",1,L6="PASS",0.75,K6="PASS",0.5,J6="PASS",0.25,J6="FAIL",0)</f>
        <v>1</v>
      </c>
    </row>
    <row r="7" spans="1:28" ht="22.5" customHeight="1" x14ac:dyDescent="0.25">
      <c r="A7" s="7" t="s">
        <v>19</v>
      </c>
      <c r="B7" s="7" t="s">
        <v>10</v>
      </c>
      <c r="C7" s="8" t="s">
        <v>11</v>
      </c>
      <c r="D7" s="7">
        <v>2995</v>
      </c>
      <c r="E7" s="9" t="s">
        <v>20</v>
      </c>
      <c r="F7" s="10" t="s">
        <v>13</v>
      </c>
      <c r="G7" s="9" t="s">
        <v>43</v>
      </c>
      <c r="H7" s="7" t="s">
        <v>44</v>
      </c>
      <c r="I7" s="7" t="s">
        <v>37</v>
      </c>
      <c r="J7" s="11" t="s">
        <v>14</v>
      </c>
      <c r="K7" s="11" t="s">
        <v>14</v>
      </c>
      <c r="L7" s="11" t="s">
        <v>14</v>
      </c>
      <c r="M7" s="11" t="s">
        <v>14</v>
      </c>
      <c r="P7" s="7" t="s">
        <v>38</v>
      </c>
      <c r="Q7" cm="1">
        <f t="array" ref="Q7">_xlfn.IFS(M7="PASS",1,L7="PASS",0.75,K7="PASS",0.5,J7="PASS",0.25,J7="FAIL",0)</f>
        <v>1</v>
      </c>
    </row>
    <row r="8" spans="1:28" ht="22.5" customHeight="1" x14ac:dyDescent="0.25">
      <c r="A8" s="7" t="s">
        <v>19</v>
      </c>
      <c r="B8" s="7" t="s">
        <v>10</v>
      </c>
      <c r="C8" s="8" t="s">
        <v>11</v>
      </c>
      <c r="D8" s="7">
        <v>2995</v>
      </c>
      <c r="E8" s="9" t="s">
        <v>21</v>
      </c>
      <c r="F8" s="10" t="s">
        <v>13</v>
      </c>
      <c r="G8" s="9" t="s">
        <v>45</v>
      </c>
      <c r="H8" s="7" t="s">
        <v>46</v>
      </c>
      <c r="I8" s="7" t="s">
        <v>37</v>
      </c>
      <c r="J8" s="12" t="s">
        <v>17</v>
      </c>
      <c r="K8" s="12" t="s">
        <v>17</v>
      </c>
      <c r="L8" s="12" t="s">
        <v>17</v>
      </c>
      <c r="M8" s="12" t="s">
        <v>17</v>
      </c>
      <c r="P8" s="7" t="s">
        <v>38</v>
      </c>
      <c r="Q8" cm="1">
        <f t="array" ref="Q8">_xlfn.IFS(M8="PASS",1,L8="PASS",0.75,K8="PASS",0.5,J8="PASS",0.25,J8="FAIL",0)</f>
        <v>0</v>
      </c>
    </row>
    <row r="9" spans="1:28" ht="22.5" customHeight="1" x14ac:dyDescent="0.25">
      <c r="A9" s="7" t="s">
        <v>19</v>
      </c>
      <c r="B9" s="7" t="s">
        <v>10</v>
      </c>
      <c r="C9" s="8" t="s">
        <v>11</v>
      </c>
      <c r="D9" s="7">
        <v>2995</v>
      </c>
      <c r="E9" s="9" t="s">
        <v>22</v>
      </c>
      <c r="F9" s="10" t="s">
        <v>13</v>
      </c>
      <c r="G9" s="9" t="s">
        <v>47</v>
      </c>
      <c r="H9" s="7" t="s">
        <v>48</v>
      </c>
      <c r="I9" s="7" t="s">
        <v>37</v>
      </c>
      <c r="J9" s="11" t="s">
        <v>14</v>
      </c>
      <c r="K9" s="11" t="s">
        <v>14</v>
      </c>
      <c r="L9" s="11" t="s">
        <v>14</v>
      </c>
      <c r="M9" s="11" t="s">
        <v>14</v>
      </c>
      <c r="P9" s="7" t="s">
        <v>38</v>
      </c>
      <c r="Q9" cm="1">
        <f t="array" ref="Q9">_xlfn.IFS(M9="PASS",1,L9="PASS",0.75,K9="PASS",0.5,J9="PASS",0.25,J9="FAIL",0)</f>
        <v>1</v>
      </c>
    </row>
    <row r="10" spans="1:28" ht="22.5" customHeight="1" x14ac:dyDescent="0.25">
      <c r="A10" s="7" t="s">
        <v>23</v>
      </c>
      <c r="B10" s="7" t="s">
        <v>10</v>
      </c>
      <c r="C10" s="8" t="s">
        <v>11</v>
      </c>
      <c r="D10" s="7">
        <v>3029</v>
      </c>
      <c r="E10" s="9" t="s">
        <v>24</v>
      </c>
      <c r="F10" s="10" t="s">
        <v>13</v>
      </c>
      <c r="G10" s="9" t="s">
        <v>49</v>
      </c>
      <c r="H10" s="7" t="s">
        <v>50</v>
      </c>
      <c r="I10" s="7" t="s">
        <v>37</v>
      </c>
      <c r="J10" s="11" t="s">
        <v>14</v>
      </c>
      <c r="K10" s="11" t="s">
        <v>14</v>
      </c>
      <c r="L10" s="11" t="s">
        <v>14</v>
      </c>
      <c r="M10" s="11" t="s">
        <v>14</v>
      </c>
      <c r="P10" s="7" t="s">
        <v>38</v>
      </c>
      <c r="Q10" cm="1">
        <f t="array" ref="Q10">_xlfn.IFS(M10="PASS",1,L10="PASS",0.75,K10="PASS",0.5,J10="PASS",0.25,J10="FAIL",0)</f>
        <v>1</v>
      </c>
    </row>
    <row r="11" spans="1:28" ht="22.5" customHeight="1" x14ac:dyDescent="0.25">
      <c r="A11" s="7" t="s">
        <v>23</v>
      </c>
      <c r="B11" s="7" t="s">
        <v>10</v>
      </c>
      <c r="C11" s="8" t="s">
        <v>11</v>
      </c>
      <c r="D11" s="7">
        <v>3029</v>
      </c>
      <c r="E11" s="9" t="s">
        <v>25</v>
      </c>
      <c r="F11" s="10" t="s">
        <v>13</v>
      </c>
      <c r="G11" s="9" t="s">
        <v>51</v>
      </c>
      <c r="H11" s="7" t="s">
        <v>52</v>
      </c>
      <c r="I11" s="7" t="s">
        <v>37</v>
      </c>
      <c r="J11" s="11" t="s">
        <v>14</v>
      </c>
      <c r="K11" s="11" t="s">
        <v>14</v>
      </c>
      <c r="L11" s="11" t="s">
        <v>14</v>
      </c>
      <c r="M11" s="11" t="s">
        <v>14</v>
      </c>
      <c r="P11" s="7" t="s">
        <v>38</v>
      </c>
      <c r="Q11" cm="1">
        <f t="array" ref="Q11">_xlfn.IFS(M11="PASS",1,L11="PASS",0.75,K11="PASS",0.5,J11="PASS",0.25,J11="FAIL",0)</f>
        <v>1</v>
      </c>
    </row>
    <row r="12" spans="1:28" ht="22.5" customHeight="1" x14ac:dyDescent="0.25">
      <c r="A12" s="13" t="s">
        <v>23</v>
      </c>
      <c r="B12" s="13" t="s">
        <v>10</v>
      </c>
      <c r="C12" s="14" t="s">
        <v>11</v>
      </c>
      <c r="D12" s="13">
        <v>3029</v>
      </c>
      <c r="E12" s="15" t="s">
        <v>26</v>
      </c>
      <c r="F12" s="16" t="s">
        <v>13</v>
      </c>
      <c r="G12" s="15" t="s">
        <v>53</v>
      </c>
      <c r="H12" s="13" t="s">
        <v>54</v>
      </c>
      <c r="I12" s="13" t="s">
        <v>37</v>
      </c>
      <c r="J12" s="17" t="s">
        <v>14</v>
      </c>
      <c r="K12" s="17" t="s">
        <v>14</v>
      </c>
      <c r="L12" s="17" t="s">
        <v>14</v>
      </c>
      <c r="M12" s="17" t="s">
        <v>14</v>
      </c>
      <c r="N12" s="13"/>
      <c r="O12" s="13"/>
      <c r="P12" s="13" t="s">
        <v>38</v>
      </c>
      <c r="Q12" cm="1">
        <f t="array" ref="Q12">_xlfn.IFS(M12="PASS",1,L12="PASS",0.75,K12="PASS",0.5,J12="PASS",0.25,J12="FAIL",0)</f>
        <v>1</v>
      </c>
      <c r="R12" s="13"/>
      <c r="S12" s="13"/>
      <c r="T12" s="13"/>
      <c r="U12" s="13"/>
    </row>
    <row r="13" spans="1:28" ht="22.5" customHeight="1" x14ac:dyDescent="0.25">
      <c r="A13" s="7" t="s">
        <v>9</v>
      </c>
      <c r="B13" s="7" t="s">
        <v>10</v>
      </c>
      <c r="C13" s="8" t="s">
        <v>11</v>
      </c>
      <c r="D13" s="7">
        <v>3004</v>
      </c>
      <c r="E13" s="9" t="s">
        <v>12</v>
      </c>
      <c r="F13" s="8" t="s">
        <v>27</v>
      </c>
      <c r="G13" s="9" t="s">
        <v>35</v>
      </c>
      <c r="H13" s="7" t="s">
        <v>36</v>
      </c>
      <c r="I13" s="7" t="s">
        <v>37</v>
      </c>
      <c r="J13" s="11" t="s">
        <v>14</v>
      </c>
      <c r="K13" s="11" t="s">
        <v>14</v>
      </c>
      <c r="L13" s="11" t="s">
        <v>14</v>
      </c>
      <c r="M13" s="11" t="s">
        <v>14</v>
      </c>
      <c r="P13" s="7" t="s">
        <v>38</v>
      </c>
      <c r="Q13" cm="1">
        <f t="array" ref="Q13">_xlfn.IFS(M13="PASS",1,L13="PASS",0.75,K13="PASS",0.5,J13="PASS",0.25,J13="FAIL",0)</f>
        <v>1</v>
      </c>
    </row>
    <row r="14" spans="1:28" ht="22.5" customHeight="1" x14ac:dyDescent="0.25">
      <c r="A14" s="7" t="s">
        <v>15</v>
      </c>
      <c r="B14" s="7" t="s">
        <v>10</v>
      </c>
      <c r="C14" s="8" t="s">
        <v>11</v>
      </c>
      <c r="D14" s="7">
        <v>3022</v>
      </c>
      <c r="E14" s="9" t="s">
        <v>16</v>
      </c>
      <c r="F14" s="8" t="s">
        <v>27</v>
      </c>
      <c r="G14" s="9" t="s">
        <v>39</v>
      </c>
      <c r="H14" s="7" t="s">
        <v>40</v>
      </c>
      <c r="I14" s="7" t="s">
        <v>37</v>
      </c>
      <c r="J14" s="11" t="s">
        <v>14</v>
      </c>
      <c r="K14" s="11" t="s">
        <v>14</v>
      </c>
      <c r="L14" s="11" t="s">
        <v>14</v>
      </c>
      <c r="M14" s="11" t="s">
        <v>14</v>
      </c>
      <c r="P14" s="7" t="s">
        <v>38</v>
      </c>
      <c r="Q14" cm="1">
        <f t="array" ref="Q14">_xlfn.IFS(M14="PASS",1,L14="PASS",0.75,K14="PASS",0.5,J14="PASS",0.25,J14="FAIL",0)</f>
        <v>1</v>
      </c>
    </row>
    <row r="15" spans="1:28" ht="22.5" customHeight="1" x14ac:dyDescent="0.25">
      <c r="A15" s="7" t="s">
        <v>15</v>
      </c>
      <c r="B15" s="7" t="s">
        <v>10</v>
      </c>
      <c r="C15" s="8" t="s">
        <v>11</v>
      </c>
      <c r="D15" s="7">
        <v>3022</v>
      </c>
      <c r="E15" s="9" t="s">
        <v>18</v>
      </c>
      <c r="F15" s="8" t="s">
        <v>27</v>
      </c>
      <c r="G15" s="9" t="s">
        <v>41</v>
      </c>
      <c r="H15" s="7" t="s">
        <v>42</v>
      </c>
      <c r="I15" s="7" t="s">
        <v>37</v>
      </c>
      <c r="J15" s="11" t="s">
        <v>14</v>
      </c>
      <c r="K15" s="11" t="s">
        <v>14</v>
      </c>
      <c r="L15" s="11" t="s">
        <v>14</v>
      </c>
      <c r="M15" s="11" t="s">
        <v>14</v>
      </c>
      <c r="P15" s="7" t="s">
        <v>38</v>
      </c>
      <c r="Q15" cm="1">
        <f t="array" ref="Q15">_xlfn.IFS(M15="PASS",1,L15="PASS",0.75,K15="PASS",0.5,J15="PASS",0.25,J15="FAIL",0)</f>
        <v>1</v>
      </c>
    </row>
    <row r="16" spans="1:28" ht="22.5" customHeight="1" x14ac:dyDescent="0.25">
      <c r="A16" s="7" t="s">
        <v>19</v>
      </c>
      <c r="B16" s="7" t="s">
        <v>10</v>
      </c>
      <c r="C16" s="8" t="s">
        <v>11</v>
      </c>
      <c r="D16" s="7">
        <v>2995</v>
      </c>
      <c r="E16" s="9" t="s">
        <v>20</v>
      </c>
      <c r="F16" s="8" t="s">
        <v>27</v>
      </c>
      <c r="G16" s="9" t="s">
        <v>43</v>
      </c>
      <c r="H16" s="7" t="s">
        <v>44</v>
      </c>
      <c r="I16" s="7" t="s">
        <v>37</v>
      </c>
      <c r="J16" s="11" t="s">
        <v>14</v>
      </c>
      <c r="K16" s="11" t="s">
        <v>14</v>
      </c>
      <c r="L16" s="12" t="s">
        <v>17</v>
      </c>
      <c r="M16" s="12" t="s">
        <v>17</v>
      </c>
      <c r="P16" s="7" t="s">
        <v>38</v>
      </c>
      <c r="Q16" cm="1">
        <f t="array" ref="Q16">_xlfn.IFS(M16="PASS",1,L16="PASS",0.75,K16="PASS",0.5,J16="PASS",0.25,J16="FAIL",0)</f>
        <v>0.5</v>
      </c>
    </row>
    <row r="17" spans="1:21" ht="22.5" customHeight="1" x14ac:dyDescent="0.25">
      <c r="A17" s="7" t="s">
        <v>19</v>
      </c>
      <c r="B17" s="7" t="s">
        <v>10</v>
      </c>
      <c r="C17" s="8" t="s">
        <v>11</v>
      </c>
      <c r="D17" s="7">
        <v>2995</v>
      </c>
      <c r="E17" s="9" t="s">
        <v>21</v>
      </c>
      <c r="F17" s="8" t="s">
        <v>27</v>
      </c>
      <c r="G17" s="9" t="s">
        <v>45</v>
      </c>
      <c r="H17" s="7" t="s">
        <v>46</v>
      </c>
      <c r="I17" s="7" t="s">
        <v>37</v>
      </c>
      <c r="J17" s="11" t="s">
        <v>14</v>
      </c>
      <c r="K17" s="11" t="s">
        <v>14</v>
      </c>
      <c r="L17" s="11" t="s">
        <v>14</v>
      </c>
      <c r="M17" s="11" t="s">
        <v>14</v>
      </c>
      <c r="P17" s="7" t="s">
        <v>38</v>
      </c>
      <c r="Q17" cm="1">
        <f t="array" ref="Q17">_xlfn.IFS(M17="PASS",1,L17="PASS",0.75,K17="PASS",0.5,J17="PASS",0.25,J17="FAIL",0)</f>
        <v>1</v>
      </c>
    </row>
    <row r="18" spans="1:21" ht="22.5" customHeight="1" x14ac:dyDescent="0.25">
      <c r="A18" s="7" t="s">
        <v>19</v>
      </c>
      <c r="B18" s="7" t="s">
        <v>10</v>
      </c>
      <c r="C18" s="8" t="s">
        <v>11</v>
      </c>
      <c r="D18" s="7">
        <v>2995</v>
      </c>
      <c r="E18" s="9" t="s">
        <v>22</v>
      </c>
      <c r="F18" s="8" t="s">
        <v>27</v>
      </c>
      <c r="G18" s="9" t="s">
        <v>47</v>
      </c>
      <c r="H18" s="7" t="s">
        <v>48</v>
      </c>
      <c r="I18" s="7" t="s">
        <v>37</v>
      </c>
      <c r="J18" s="11" t="s">
        <v>14</v>
      </c>
      <c r="K18" s="11" t="s">
        <v>14</v>
      </c>
      <c r="L18" s="11" t="s">
        <v>14</v>
      </c>
      <c r="M18" s="11" t="s">
        <v>14</v>
      </c>
      <c r="P18" s="7" t="s">
        <v>38</v>
      </c>
      <c r="Q18" cm="1">
        <f t="array" ref="Q18">_xlfn.IFS(M18="PASS",1,L18="PASS",0.75,K18="PASS",0.5,J18="PASS",0.25,J18="FAIL",0)</f>
        <v>1</v>
      </c>
    </row>
    <row r="19" spans="1:21" ht="22.5" customHeight="1" x14ac:dyDescent="0.25">
      <c r="A19" s="7" t="s">
        <v>23</v>
      </c>
      <c r="B19" s="7" t="s">
        <v>10</v>
      </c>
      <c r="C19" s="8" t="s">
        <v>11</v>
      </c>
      <c r="D19" s="7">
        <v>3029</v>
      </c>
      <c r="E19" s="9" t="s">
        <v>24</v>
      </c>
      <c r="F19" s="8" t="s">
        <v>27</v>
      </c>
      <c r="G19" s="9" t="s">
        <v>49</v>
      </c>
      <c r="H19" s="7" t="s">
        <v>50</v>
      </c>
      <c r="I19" s="7" t="s">
        <v>37</v>
      </c>
      <c r="J19" s="11" t="s">
        <v>14</v>
      </c>
      <c r="K19" s="11" t="s">
        <v>14</v>
      </c>
      <c r="L19" s="11" t="s">
        <v>14</v>
      </c>
      <c r="M19" s="11" t="s">
        <v>14</v>
      </c>
      <c r="P19" s="7" t="s">
        <v>38</v>
      </c>
      <c r="Q19" cm="1">
        <f t="array" ref="Q19">_xlfn.IFS(M19="PASS",1,L19="PASS",0.75,K19="PASS",0.5,J19="PASS",0.25,J19="FAIL",0)</f>
        <v>1</v>
      </c>
    </row>
    <row r="20" spans="1:21" ht="22.5" customHeight="1" x14ac:dyDescent="0.25">
      <c r="A20" s="7" t="s">
        <v>23</v>
      </c>
      <c r="B20" s="7" t="s">
        <v>10</v>
      </c>
      <c r="C20" s="8" t="s">
        <v>11</v>
      </c>
      <c r="D20" s="7">
        <v>3029</v>
      </c>
      <c r="E20" s="9" t="s">
        <v>25</v>
      </c>
      <c r="F20" s="8" t="s">
        <v>27</v>
      </c>
      <c r="G20" s="9" t="s">
        <v>51</v>
      </c>
      <c r="H20" s="7" t="s">
        <v>52</v>
      </c>
      <c r="I20" s="7" t="s">
        <v>37</v>
      </c>
      <c r="J20" s="11" t="s">
        <v>14</v>
      </c>
      <c r="K20" s="11" t="s">
        <v>14</v>
      </c>
      <c r="L20" s="11" t="s">
        <v>14</v>
      </c>
      <c r="M20" s="11" t="s">
        <v>14</v>
      </c>
      <c r="P20" s="7" t="s">
        <v>38</v>
      </c>
      <c r="Q20" cm="1">
        <f t="array" ref="Q20">_xlfn.IFS(M20="PASS",1,L20="PASS",0.75,K20="PASS",0.5,J20="PASS",0.25,J20="FAIL",0)</f>
        <v>1</v>
      </c>
    </row>
    <row r="21" spans="1:21" ht="22.5" customHeight="1" x14ac:dyDescent="0.25">
      <c r="A21" s="13" t="s">
        <v>23</v>
      </c>
      <c r="B21" s="13" t="s">
        <v>10</v>
      </c>
      <c r="C21" s="14" t="s">
        <v>11</v>
      </c>
      <c r="D21" s="13">
        <v>3029</v>
      </c>
      <c r="E21" s="15" t="s">
        <v>26</v>
      </c>
      <c r="F21" s="14" t="s">
        <v>27</v>
      </c>
      <c r="G21" s="15" t="s">
        <v>53</v>
      </c>
      <c r="H21" s="13" t="s">
        <v>54</v>
      </c>
      <c r="I21" s="13" t="s">
        <v>37</v>
      </c>
      <c r="J21" s="17" t="s">
        <v>14</v>
      </c>
      <c r="K21" s="17" t="s">
        <v>14</v>
      </c>
      <c r="L21" s="17" t="s">
        <v>14</v>
      </c>
      <c r="M21" s="17" t="s">
        <v>14</v>
      </c>
      <c r="N21" s="13"/>
      <c r="O21" s="13"/>
      <c r="P21" s="13" t="s">
        <v>38</v>
      </c>
      <c r="Q21" cm="1">
        <f t="array" ref="Q21">_xlfn.IFS(M21="PASS",1,L21="PASS",0.75,K21="PASS",0.5,J21="PASS",0.25,J21="FAIL",0)</f>
        <v>1</v>
      </c>
      <c r="R21" s="13"/>
      <c r="S21" s="13"/>
      <c r="T21" s="13"/>
      <c r="U21" s="13"/>
    </row>
    <row r="22" spans="1:21" ht="22.5" customHeight="1" x14ac:dyDescent="0.25">
      <c r="A22" s="7" t="s">
        <v>9</v>
      </c>
      <c r="B22" s="7" t="s">
        <v>10</v>
      </c>
      <c r="C22" s="8" t="s">
        <v>11</v>
      </c>
      <c r="D22" s="7">
        <v>3004</v>
      </c>
      <c r="E22" s="9" t="s">
        <v>12</v>
      </c>
      <c r="F22" s="18" t="s">
        <v>28</v>
      </c>
      <c r="G22" s="9" t="s">
        <v>35</v>
      </c>
      <c r="H22" s="7" t="s">
        <v>36</v>
      </c>
      <c r="I22" s="7" t="s">
        <v>37</v>
      </c>
      <c r="J22" s="11" t="s">
        <v>14</v>
      </c>
      <c r="K22" s="11" t="s">
        <v>14</v>
      </c>
      <c r="L22" s="11" t="s">
        <v>14</v>
      </c>
      <c r="M22" s="11" t="s">
        <v>14</v>
      </c>
      <c r="P22" s="7" t="s">
        <v>38</v>
      </c>
      <c r="Q22" cm="1">
        <f t="array" ref="Q22">_xlfn.IFS(M22="PASS",1,L22="PASS",0.75,K22="PASS",0.5,J22="PASS",0.25,J22="FAIL",0)</f>
        <v>1</v>
      </c>
    </row>
    <row r="23" spans="1:21" ht="22.5" customHeight="1" x14ac:dyDescent="0.25">
      <c r="A23" s="7" t="s">
        <v>15</v>
      </c>
      <c r="B23" s="7" t="s">
        <v>10</v>
      </c>
      <c r="C23" s="8" t="s">
        <v>11</v>
      </c>
      <c r="D23" s="7">
        <v>3022</v>
      </c>
      <c r="E23" s="9" t="s">
        <v>16</v>
      </c>
      <c r="F23" s="18" t="s">
        <v>28</v>
      </c>
      <c r="G23" s="9" t="s">
        <v>39</v>
      </c>
      <c r="H23" s="7" t="s">
        <v>40</v>
      </c>
      <c r="I23" s="7" t="s">
        <v>37</v>
      </c>
      <c r="J23" s="11" t="s">
        <v>14</v>
      </c>
      <c r="K23" s="11" t="s">
        <v>14</v>
      </c>
      <c r="L23" s="11" t="s">
        <v>14</v>
      </c>
      <c r="M23" s="11" t="s">
        <v>14</v>
      </c>
      <c r="P23" s="7" t="s">
        <v>38</v>
      </c>
      <c r="Q23" cm="1">
        <f t="array" ref="Q23">_xlfn.IFS(M23="PASS",1,L23="PASS",0.75,K23="PASS",0.5,J23="PASS",0.25,J23="FAIL",0)</f>
        <v>1</v>
      </c>
    </row>
    <row r="24" spans="1:21" ht="22.5" customHeight="1" x14ac:dyDescent="0.25">
      <c r="A24" s="7" t="s">
        <v>15</v>
      </c>
      <c r="B24" s="7" t="s">
        <v>10</v>
      </c>
      <c r="C24" s="8" t="s">
        <v>11</v>
      </c>
      <c r="D24" s="7">
        <v>3022</v>
      </c>
      <c r="E24" s="9" t="s">
        <v>18</v>
      </c>
      <c r="F24" s="18" t="s">
        <v>28</v>
      </c>
      <c r="G24" s="9" t="s">
        <v>41</v>
      </c>
      <c r="H24" s="7" t="s">
        <v>42</v>
      </c>
      <c r="I24" s="7" t="s">
        <v>37</v>
      </c>
      <c r="J24" s="11" t="s">
        <v>14</v>
      </c>
      <c r="K24" s="11" t="s">
        <v>14</v>
      </c>
      <c r="L24" s="11" t="s">
        <v>14</v>
      </c>
      <c r="M24" s="11" t="s">
        <v>14</v>
      </c>
      <c r="P24" s="7" t="s">
        <v>38</v>
      </c>
      <c r="Q24" cm="1">
        <f t="array" ref="Q24">_xlfn.IFS(M24="PASS",1,L24="PASS",0.75,K24="PASS",0.5,J24="PASS",0.25,J24="FAIL",0)</f>
        <v>1</v>
      </c>
    </row>
    <row r="25" spans="1:21" ht="22.5" customHeight="1" x14ac:dyDescent="0.25">
      <c r="A25" s="7" t="s">
        <v>19</v>
      </c>
      <c r="B25" s="7" t="s">
        <v>10</v>
      </c>
      <c r="C25" s="8" t="s">
        <v>11</v>
      </c>
      <c r="D25" s="7">
        <v>2995</v>
      </c>
      <c r="E25" s="9" t="s">
        <v>20</v>
      </c>
      <c r="F25" s="18" t="s">
        <v>28</v>
      </c>
      <c r="G25" s="9" t="s">
        <v>43</v>
      </c>
      <c r="H25" s="7" t="s">
        <v>44</v>
      </c>
      <c r="I25" s="7" t="s">
        <v>37</v>
      </c>
      <c r="J25" s="12" t="s">
        <v>17</v>
      </c>
      <c r="K25" s="12" t="s">
        <v>17</v>
      </c>
      <c r="L25" s="12" t="s">
        <v>17</v>
      </c>
      <c r="M25" s="12" t="s">
        <v>17</v>
      </c>
      <c r="P25" s="7"/>
      <c r="Q25" cm="1">
        <f t="array" ref="Q25">_xlfn.IFS(M25="PASS",1,L25="PASS",0.75,K25="PASS",0.5,J25="PASS",0.25,J25="FAIL",0)</f>
        <v>0</v>
      </c>
    </row>
    <row r="26" spans="1:21" ht="22.5" customHeight="1" x14ac:dyDescent="0.25">
      <c r="A26" s="7" t="s">
        <v>19</v>
      </c>
      <c r="B26" s="7" t="s">
        <v>10</v>
      </c>
      <c r="C26" s="8" t="s">
        <v>11</v>
      </c>
      <c r="D26" s="7">
        <v>2995</v>
      </c>
      <c r="E26" s="9" t="s">
        <v>21</v>
      </c>
      <c r="F26" s="18" t="s">
        <v>28</v>
      </c>
      <c r="G26" s="9" t="s">
        <v>45</v>
      </c>
      <c r="H26" s="7" t="s">
        <v>46</v>
      </c>
      <c r="I26" s="7" t="s">
        <v>37</v>
      </c>
      <c r="J26" s="11" t="s">
        <v>14</v>
      </c>
      <c r="K26" s="11" t="s">
        <v>14</v>
      </c>
      <c r="L26" s="11" t="s">
        <v>14</v>
      </c>
      <c r="M26" s="11" t="s">
        <v>14</v>
      </c>
      <c r="P26" s="7" t="s">
        <v>38</v>
      </c>
      <c r="Q26" cm="1">
        <f t="array" ref="Q26">_xlfn.IFS(M26="PASS",1,L26="PASS",0.75,K26="PASS",0.5,J26="PASS",0.25,J26="FAIL",0)</f>
        <v>1</v>
      </c>
    </row>
    <row r="27" spans="1:21" ht="22.5" customHeight="1" x14ac:dyDescent="0.25">
      <c r="A27" s="7" t="s">
        <v>19</v>
      </c>
      <c r="B27" s="7" t="s">
        <v>10</v>
      </c>
      <c r="C27" s="8" t="s">
        <v>11</v>
      </c>
      <c r="D27" s="7">
        <v>2995</v>
      </c>
      <c r="E27" s="9" t="s">
        <v>22</v>
      </c>
      <c r="F27" s="18" t="s">
        <v>28</v>
      </c>
      <c r="G27" s="9" t="s">
        <v>47</v>
      </c>
      <c r="H27" s="7" t="s">
        <v>48</v>
      </c>
      <c r="I27" s="7" t="s">
        <v>37</v>
      </c>
      <c r="J27" s="11" t="s">
        <v>14</v>
      </c>
      <c r="K27" s="11" t="s">
        <v>14</v>
      </c>
      <c r="L27" s="11" t="s">
        <v>14</v>
      </c>
      <c r="M27" s="11" t="s">
        <v>14</v>
      </c>
      <c r="P27" s="7" t="s">
        <v>38</v>
      </c>
      <c r="Q27" cm="1">
        <f t="array" ref="Q27">_xlfn.IFS(M27="PASS",1,L27="PASS",0.75,K27="PASS",0.5,J27="PASS",0.25,J27="FAIL",0)</f>
        <v>1</v>
      </c>
    </row>
    <row r="28" spans="1:21" ht="22.5" customHeight="1" x14ac:dyDescent="0.25">
      <c r="A28" s="7" t="s">
        <v>23</v>
      </c>
      <c r="B28" s="7" t="s">
        <v>10</v>
      </c>
      <c r="C28" s="8" t="s">
        <v>11</v>
      </c>
      <c r="D28" s="7">
        <v>3029</v>
      </c>
      <c r="E28" s="9" t="s">
        <v>24</v>
      </c>
      <c r="F28" s="18" t="s">
        <v>28</v>
      </c>
      <c r="G28" s="9" t="s">
        <v>49</v>
      </c>
      <c r="H28" s="7" t="s">
        <v>50</v>
      </c>
      <c r="I28" s="7" t="s">
        <v>37</v>
      </c>
      <c r="J28" s="11" t="s">
        <v>14</v>
      </c>
      <c r="K28" s="11" t="s">
        <v>14</v>
      </c>
      <c r="L28" s="12" t="s">
        <v>17</v>
      </c>
      <c r="M28" s="12" t="s">
        <v>17</v>
      </c>
      <c r="P28" s="7" t="s">
        <v>38</v>
      </c>
      <c r="Q28" cm="1">
        <f t="array" ref="Q28">_xlfn.IFS(M28="PASS",1,L28="PASS",0.75,K28="PASS",0.5,J28="PASS",0.25,J28="FAIL",0)</f>
        <v>0.5</v>
      </c>
    </row>
    <row r="29" spans="1:21" ht="22.5" customHeight="1" x14ac:dyDescent="0.25">
      <c r="A29" s="7" t="s">
        <v>23</v>
      </c>
      <c r="B29" s="7" t="s">
        <v>10</v>
      </c>
      <c r="C29" s="8" t="s">
        <v>11</v>
      </c>
      <c r="D29" s="7">
        <v>3029</v>
      </c>
      <c r="E29" s="9" t="s">
        <v>25</v>
      </c>
      <c r="F29" s="18" t="s">
        <v>28</v>
      </c>
      <c r="G29" s="9" t="s">
        <v>51</v>
      </c>
      <c r="H29" s="7" t="s">
        <v>52</v>
      </c>
      <c r="I29" s="7" t="s">
        <v>37</v>
      </c>
      <c r="J29" s="11" t="s">
        <v>14</v>
      </c>
      <c r="K29" s="11" t="s">
        <v>14</v>
      </c>
      <c r="L29" s="11" t="s">
        <v>14</v>
      </c>
      <c r="M29" s="11" t="s">
        <v>14</v>
      </c>
      <c r="P29" s="7" t="s">
        <v>38</v>
      </c>
      <c r="Q29" cm="1">
        <f t="array" ref="Q29">_xlfn.IFS(M29="PASS",1,L29="PASS",0.75,K29="PASS",0.5,J29="PASS",0.25,J29="FAIL",0)</f>
        <v>1</v>
      </c>
    </row>
    <row r="30" spans="1:21" ht="22.5" customHeight="1" x14ac:dyDescent="0.25">
      <c r="A30" s="13" t="s">
        <v>23</v>
      </c>
      <c r="B30" s="13" t="s">
        <v>10</v>
      </c>
      <c r="C30" s="14" t="s">
        <v>11</v>
      </c>
      <c r="D30" s="13">
        <v>3029</v>
      </c>
      <c r="E30" s="15" t="s">
        <v>26</v>
      </c>
      <c r="F30" s="19" t="s">
        <v>28</v>
      </c>
      <c r="G30" s="15" t="s">
        <v>53</v>
      </c>
      <c r="H30" s="13" t="s">
        <v>54</v>
      </c>
      <c r="I30" s="13" t="s">
        <v>37</v>
      </c>
      <c r="J30" s="17" t="s">
        <v>14</v>
      </c>
      <c r="K30" s="17" t="s">
        <v>14</v>
      </c>
      <c r="L30" s="17" t="s">
        <v>14</v>
      </c>
      <c r="M30" s="17" t="s">
        <v>14</v>
      </c>
      <c r="N30" s="13"/>
      <c r="O30" s="13"/>
      <c r="P30" s="13" t="s">
        <v>38</v>
      </c>
      <c r="Q30" cm="1">
        <f t="array" ref="Q30">_xlfn.IFS(M30="PASS",1,L30="PASS",0.75,K30="PASS",0.5,J30="PASS",0.25,J30="FAIL",0)</f>
        <v>1</v>
      </c>
      <c r="R30" s="13"/>
      <c r="S30" s="13"/>
      <c r="T30" s="13"/>
      <c r="U30" s="13"/>
    </row>
    <row r="31" spans="1:21" ht="22.5" customHeight="1" x14ac:dyDescent="0.25">
      <c r="A31" s="7" t="s">
        <v>9</v>
      </c>
      <c r="B31" s="7" t="s">
        <v>10</v>
      </c>
      <c r="C31" s="8" t="s">
        <v>11</v>
      </c>
      <c r="D31" s="7">
        <v>3004</v>
      </c>
      <c r="E31" s="9" t="s">
        <v>12</v>
      </c>
      <c r="F31" s="20" t="s">
        <v>29</v>
      </c>
      <c r="G31" s="9" t="s">
        <v>35</v>
      </c>
      <c r="H31" s="7" t="s">
        <v>36</v>
      </c>
      <c r="I31" s="7" t="s">
        <v>37</v>
      </c>
      <c r="J31" s="11" t="s">
        <v>14</v>
      </c>
      <c r="K31" s="11" t="s">
        <v>14</v>
      </c>
      <c r="L31" s="11" t="s">
        <v>14</v>
      </c>
      <c r="M31" s="11" t="s">
        <v>14</v>
      </c>
      <c r="P31" s="7" t="s">
        <v>38</v>
      </c>
      <c r="Q31" cm="1">
        <f t="array" ref="Q31">_xlfn.IFS(M31="PASS",1,L31="PASS",0.75,K31="PASS",0.5,J31="PASS",0.25,J31="FAIL",0)</f>
        <v>1</v>
      </c>
    </row>
    <row r="32" spans="1:21" ht="22.5" customHeight="1" x14ac:dyDescent="0.25">
      <c r="A32" s="7" t="s">
        <v>15</v>
      </c>
      <c r="B32" s="7" t="s">
        <v>10</v>
      </c>
      <c r="C32" s="8" t="s">
        <v>11</v>
      </c>
      <c r="D32" s="7">
        <v>3022</v>
      </c>
      <c r="E32" s="9" t="s">
        <v>16</v>
      </c>
      <c r="F32" s="20" t="s">
        <v>29</v>
      </c>
      <c r="G32" s="9" t="s">
        <v>39</v>
      </c>
      <c r="H32" s="7" t="s">
        <v>40</v>
      </c>
      <c r="I32" s="7" t="s">
        <v>37</v>
      </c>
      <c r="J32" s="11" t="s">
        <v>14</v>
      </c>
      <c r="K32" s="11" t="s">
        <v>14</v>
      </c>
      <c r="L32" s="11" t="s">
        <v>14</v>
      </c>
      <c r="M32" s="12" t="s">
        <v>17</v>
      </c>
      <c r="P32" s="7" t="s">
        <v>38</v>
      </c>
      <c r="Q32" cm="1">
        <f t="array" ref="Q32">_xlfn.IFS(M32="PASS",1,L32="PASS",0.75,K32="PASS",0.5,J32="PASS",0.25,J32="FAIL",0)</f>
        <v>0.75</v>
      </c>
    </row>
    <row r="33" spans="1:17" ht="22.5" customHeight="1" x14ac:dyDescent="0.25">
      <c r="A33" s="7" t="s">
        <v>15</v>
      </c>
      <c r="B33" s="7" t="s">
        <v>10</v>
      </c>
      <c r="C33" s="8" t="s">
        <v>11</v>
      </c>
      <c r="D33" s="7">
        <v>3022</v>
      </c>
      <c r="E33" s="9" t="s">
        <v>18</v>
      </c>
      <c r="F33" s="20" t="s">
        <v>29</v>
      </c>
      <c r="G33" s="9" t="s">
        <v>41</v>
      </c>
      <c r="H33" s="7" t="s">
        <v>42</v>
      </c>
      <c r="I33" s="7" t="s">
        <v>37</v>
      </c>
      <c r="J33" s="11" t="s">
        <v>14</v>
      </c>
      <c r="K33" s="11" t="s">
        <v>14</v>
      </c>
      <c r="L33" s="11" t="s">
        <v>14</v>
      </c>
      <c r="M33" s="11" t="s">
        <v>14</v>
      </c>
      <c r="P33" s="7" t="s">
        <v>38</v>
      </c>
      <c r="Q33" cm="1">
        <f t="array" ref="Q33">_xlfn.IFS(M33="PASS",1,L33="PASS",0.75,K33="PASS",0.5,J33="PASS",0.25,J33="FAIL",0)</f>
        <v>1</v>
      </c>
    </row>
    <row r="34" spans="1:17" ht="22.5" customHeight="1" x14ac:dyDescent="0.25">
      <c r="A34" s="7" t="s">
        <v>19</v>
      </c>
      <c r="B34" s="7" t="s">
        <v>10</v>
      </c>
      <c r="C34" s="8" t="s">
        <v>11</v>
      </c>
      <c r="D34" s="7">
        <v>2995</v>
      </c>
      <c r="E34" s="9" t="s">
        <v>20</v>
      </c>
      <c r="F34" s="20" t="s">
        <v>29</v>
      </c>
      <c r="G34" s="9" t="s">
        <v>43</v>
      </c>
      <c r="H34" s="7" t="s">
        <v>44</v>
      </c>
      <c r="I34" s="7" t="s">
        <v>37</v>
      </c>
      <c r="J34" s="11" t="s">
        <v>14</v>
      </c>
      <c r="K34" s="11" t="s">
        <v>14</v>
      </c>
      <c r="L34" s="11" t="s">
        <v>14</v>
      </c>
      <c r="M34" s="11" t="s">
        <v>14</v>
      </c>
      <c r="P34" s="7"/>
      <c r="Q34" cm="1">
        <f t="array" ref="Q34">_xlfn.IFS(M34="PASS",1,L34="PASS",0.75,K34="PASS",0.5,J34="PASS",0.25,J34="FAIL",0)</f>
        <v>1</v>
      </c>
    </row>
    <row r="35" spans="1:17" ht="22.5" customHeight="1" x14ac:dyDescent="0.25">
      <c r="A35" s="7" t="s">
        <v>19</v>
      </c>
      <c r="B35" s="7" t="s">
        <v>10</v>
      </c>
      <c r="C35" s="8" t="s">
        <v>11</v>
      </c>
      <c r="D35" s="7">
        <v>2995</v>
      </c>
      <c r="E35" s="9" t="s">
        <v>21</v>
      </c>
      <c r="F35" s="20" t="s">
        <v>29</v>
      </c>
      <c r="G35" s="9" t="s">
        <v>45</v>
      </c>
      <c r="H35" s="7" t="s">
        <v>46</v>
      </c>
      <c r="I35" s="7" t="s">
        <v>37</v>
      </c>
      <c r="J35" s="11" t="s">
        <v>14</v>
      </c>
      <c r="K35" s="11" t="s">
        <v>14</v>
      </c>
      <c r="L35" s="11" t="s">
        <v>14</v>
      </c>
      <c r="M35" s="11" t="s">
        <v>14</v>
      </c>
      <c r="P35" s="7" t="s">
        <v>38</v>
      </c>
      <c r="Q35" cm="1">
        <f t="array" ref="Q35">_xlfn.IFS(M35="PASS",1,L35="PASS",0.75,K35="PASS",0.5,J35="PASS",0.25,J35="FAIL",0)</f>
        <v>1</v>
      </c>
    </row>
    <row r="36" spans="1:17" ht="22.5" customHeight="1" x14ac:dyDescent="0.25">
      <c r="A36" s="7" t="s">
        <v>19</v>
      </c>
      <c r="B36" s="7" t="s">
        <v>10</v>
      </c>
      <c r="C36" s="8" t="s">
        <v>11</v>
      </c>
      <c r="D36" s="7">
        <v>2995</v>
      </c>
      <c r="E36" s="9" t="s">
        <v>22</v>
      </c>
      <c r="F36" s="20" t="s">
        <v>29</v>
      </c>
      <c r="G36" s="9" t="s">
        <v>47</v>
      </c>
      <c r="H36" s="7" t="s">
        <v>48</v>
      </c>
      <c r="I36" s="7" t="s">
        <v>37</v>
      </c>
      <c r="J36" s="11" t="s">
        <v>14</v>
      </c>
      <c r="K36" s="11" t="s">
        <v>14</v>
      </c>
      <c r="L36" s="11" t="s">
        <v>14</v>
      </c>
      <c r="M36" s="11" t="s">
        <v>14</v>
      </c>
      <c r="P36" s="7" t="s">
        <v>38</v>
      </c>
      <c r="Q36" cm="1">
        <f t="array" ref="Q36">_xlfn.IFS(M36="PASS",1,L36="PASS",0.75,K36="PASS",0.5,J36="PASS",0.25,J36="FAIL",0)</f>
        <v>1</v>
      </c>
    </row>
    <row r="37" spans="1:17" ht="22.5" customHeight="1" x14ac:dyDescent="0.25">
      <c r="A37" s="7" t="s">
        <v>23</v>
      </c>
      <c r="B37" s="7" t="s">
        <v>10</v>
      </c>
      <c r="C37" s="8" t="s">
        <v>11</v>
      </c>
      <c r="D37" s="7">
        <v>3029</v>
      </c>
      <c r="E37" s="9" t="s">
        <v>24</v>
      </c>
      <c r="F37" s="20" t="s">
        <v>29</v>
      </c>
      <c r="G37" s="9" t="s">
        <v>49</v>
      </c>
      <c r="H37" s="7" t="s">
        <v>50</v>
      </c>
      <c r="I37" s="7" t="s">
        <v>37</v>
      </c>
      <c r="J37" s="11" t="s">
        <v>14</v>
      </c>
      <c r="K37" s="11" t="s">
        <v>14</v>
      </c>
      <c r="L37" s="11" t="s">
        <v>14</v>
      </c>
      <c r="M37" s="11" t="s">
        <v>14</v>
      </c>
      <c r="P37" s="7" t="s">
        <v>38</v>
      </c>
      <c r="Q37" cm="1">
        <f t="array" ref="Q37">_xlfn.IFS(M37="PASS",1,L37="PASS",0.75,K37="PASS",0.5,J37="PASS",0.25,J37="FAIL",0)</f>
        <v>1</v>
      </c>
    </row>
    <row r="38" spans="1:17" ht="22.5" customHeight="1" x14ac:dyDescent="0.25">
      <c r="A38" s="7" t="s">
        <v>23</v>
      </c>
      <c r="B38" s="7" t="s">
        <v>10</v>
      </c>
      <c r="C38" s="8" t="s">
        <v>11</v>
      </c>
      <c r="D38" s="7">
        <v>3029</v>
      </c>
      <c r="E38" s="9" t="s">
        <v>25</v>
      </c>
      <c r="F38" s="20" t="s">
        <v>29</v>
      </c>
      <c r="G38" s="9" t="s">
        <v>51</v>
      </c>
      <c r="H38" s="7" t="s">
        <v>52</v>
      </c>
      <c r="I38" s="7" t="s">
        <v>37</v>
      </c>
      <c r="J38" s="11" t="s">
        <v>14</v>
      </c>
      <c r="K38" s="11" t="s">
        <v>14</v>
      </c>
      <c r="L38" s="11" t="s">
        <v>14</v>
      </c>
      <c r="M38" s="11" t="s">
        <v>14</v>
      </c>
      <c r="P38" s="7" t="s">
        <v>38</v>
      </c>
      <c r="Q38" cm="1">
        <f t="array" ref="Q38">_xlfn.IFS(M38="PASS",1,L38="PASS",0.75,K38="PASS",0.5,J38="PASS",0.25,J38="FAIL",0)</f>
        <v>1</v>
      </c>
    </row>
    <row r="39" spans="1:17" ht="22.5" customHeight="1" x14ac:dyDescent="0.25">
      <c r="A39" s="7" t="s">
        <v>23</v>
      </c>
      <c r="B39" s="7" t="s">
        <v>10</v>
      </c>
      <c r="C39" s="8" t="s">
        <v>11</v>
      </c>
      <c r="D39" s="7">
        <v>3029</v>
      </c>
      <c r="E39" s="9" t="s">
        <v>26</v>
      </c>
      <c r="F39" s="20" t="s">
        <v>29</v>
      </c>
      <c r="G39" s="9" t="s">
        <v>53</v>
      </c>
      <c r="H39" s="7" t="s">
        <v>54</v>
      </c>
      <c r="I39" s="7" t="s">
        <v>37</v>
      </c>
      <c r="J39" s="11" t="s">
        <v>14</v>
      </c>
      <c r="K39" s="11" t="s">
        <v>14</v>
      </c>
      <c r="L39" s="11" t="s">
        <v>14</v>
      </c>
      <c r="M39" s="11" t="s">
        <v>14</v>
      </c>
      <c r="P39" s="7" t="s">
        <v>38</v>
      </c>
      <c r="Q39" cm="1">
        <f t="array" ref="Q39">_xlfn.IFS(M39="PASS",1,L39="PASS",0.75,K39="PASS",0.5,J39="PASS",0.25,J39="FAIL",0)</f>
        <v>1</v>
      </c>
    </row>
    <row r="40" spans="1:17" ht="12.5" x14ac:dyDescent="0.25">
      <c r="D40" s="7"/>
      <c r="J40" s="21">
        <f t="shared" ref="J40:M40" si="0">(COUNTIF(J4:J39,"PASS") / (COUNTIF(J4:J39,"PASS") + COUNTIF(J4:J39,"FAIL"))) * 100</f>
        <v>94.444444444444443</v>
      </c>
      <c r="K40" s="21">
        <f t="shared" si="0"/>
        <v>94.444444444444443</v>
      </c>
      <c r="L40" s="21">
        <f t="shared" si="0"/>
        <v>86.111111111111114</v>
      </c>
      <c r="M40" s="21">
        <f t="shared" si="0"/>
        <v>83.333333333333343</v>
      </c>
    </row>
    <row r="41" spans="1:17" ht="12.5" x14ac:dyDescent="0.25">
      <c r="J41" s="22"/>
      <c r="K41" s="22"/>
      <c r="L41" s="22"/>
      <c r="M41" s="22"/>
    </row>
    <row r="46" spans="1:17" ht="12.5" x14ac:dyDescent="0.25">
      <c r="I46" s="24"/>
      <c r="N46" s="7">
        <v>23</v>
      </c>
    </row>
    <row r="47" spans="1:17" ht="12.5" x14ac:dyDescent="0.25">
      <c r="N47" s="7" t="e">
        <f>J47/J46*N46</f>
        <v>#DIV/0!</v>
      </c>
    </row>
    <row r="48" spans="1:17" ht="12.5" x14ac:dyDescent="0.25">
      <c r="I48" s="24"/>
    </row>
    <row r="50" spans="9:9" ht="12.5" x14ac:dyDescent="0.25">
      <c r="I50" s="24"/>
    </row>
    <row r="52" spans="9:9" ht="12.5" x14ac:dyDescent="0.25">
      <c r="I52" s="24"/>
    </row>
  </sheetData>
  <mergeCells count="3">
    <mergeCell ref="A2:D2"/>
    <mergeCell ref="E2:F2"/>
    <mergeCell ref="G2:O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AB50"/>
  <sheetViews>
    <sheetView workbookViewId="0">
      <selection activeCell="Q4" sqref="Q4"/>
    </sheetView>
  </sheetViews>
  <sheetFormatPr defaultColWidth="12.6328125" defaultRowHeight="15.75" customHeight="1" x14ac:dyDescent="0.25"/>
  <cols>
    <col min="5" max="5" width="47.7265625" customWidth="1"/>
    <col min="14" max="15" width="12.6328125" hidden="1"/>
  </cols>
  <sheetData>
    <row r="2" spans="1:28" ht="21" customHeight="1" x14ac:dyDescent="0.35">
      <c r="A2" s="34" t="s">
        <v>0</v>
      </c>
      <c r="B2" s="35"/>
      <c r="C2" s="35"/>
      <c r="D2" s="35"/>
      <c r="E2" s="36"/>
      <c r="F2" s="35"/>
      <c r="G2" s="37"/>
      <c r="H2" s="35"/>
      <c r="I2" s="35"/>
      <c r="J2" s="35"/>
      <c r="K2" s="35"/>
      <c r="L2" s="35"/>
      <c r="M2" s="35"/>
      <c r="N2" s="35"/>
      <c r="O2" s="35"/>
      <c r="P2" s="23" t="s">
        <v>30</v>
      </c>
      <c r="Q2" s="2"/>
      <c r="R2" s="2"/>
      <c r="S2" s="2"/>
      <c r="T2" s="2"/>
      <c r="U2" s="2"/>
      <c r="V2" s="2"/>
      <c r="W2" s="2"/>
      <c r="X2" s="2"/>
      <c r="Y2" s="2"/>
      <c r="Z2" s="2"/>
      <c r="AA2" s="2"/>
      <c r="AB2" s="2"/>
    </row>
    <row r="3" spans="1:28" ht="20.25" customHeight="1" x14ac:dyDescent="0.3">
      <c r="A3" s="3" t="s">
        <v>2</v>
      </c>
      <c r="B3" s="3" t="s">
        <v>3</v>
      </c>
      <c r="C3" s="3" t="s">
        <v>4</v>
      </c>
      <c r="D3" s="3" t="s">
        <v>5</v>
      </c>
      <c r="E3" s="4" t="s">
        <v>1</v>
      </c>
      <c r="F3" s="3" t="s">
        <v>6</v>
      </c>
      <c r="G3" s="3" t="s">
        <v>31</v>
      </c>
      <c r="H3" s="3" t="s">
        <v>32</v>
      </c>
      <c r="I3" s="3" t="s">
        <v>33</v>
      </c>
      <c r="J3" s="5">
        <v>0.25</v>
      </c>
      <c r="K3" s="5">
        <v>0.5</v>
      </c>
      <c r="L3" s="5">
        <v>0.75</v>
      </c>
      <c r="M3" s="5">
        <v>1</v>
      </c>
      <c r="N3" s="3" t="s">
        <v>7</v>
      </c>
      <c r="O3" s="3" t="s">
        <v>8</v>
      </c>
      <c r="P3" s="3" t="s">
        <v>34</v>
      </c>
      <c r="Q3" s="6"/>
      <c r="R3" s="6"/>
      <c r="S3" s="6"/>
      <c r="T3" s="6"/>
      <c r="U3" s="6"/>
      <c r="V3" s="6"/>
      <c r="W3" s="6"/>
      <c r="X3" s="6"/>
      <c r="Y3" s="6"/>
      <c r="Z3" s="6"/>
      <c r="AA3" s="6"/>
      <c r="AB3" s="6"/>
    </row>
    <row r="4" spans="1:28" ht="22.5" customHeight="1" x14ac:dyDescent="0.25">
      <c r="A4" s="7" t="s">
        <v>9</v>
      </c>
      <c r="B4" s="7" t="s">
        <v>10</v>
      </c>
      <c r="C4" s="8" t="s">
        <v>11</v>
      </c>
      <c r="D4" s="7">
        <v>138</v>
      </c>
      <c r="E4" s="7" t="s">
        <v>55</v>
      </c>
      <c r="F4" s="10" t="s">
        <v>13</v>
      </c>
      <c r="G4" s="9" t="s">
        <v>56</v>
      </c>
      <c r="H4" s="7" t="s">
        <v>36</v>
      </c>
      <c r="I4" s="7" t="s">
        <v>37</v>
      </c>
      <c r="J4" s="12" t="s">
        <v>17</v>
      </c>
      <c r="K4" s="25" t="s">
        <v>17</v>
      </c>
      <c r="L4" s="25" t="s">
        <v>17</v>
      </c>
      <c r="M4" s="25" t="s">
        <v>17</v>
      </c>
      <c r="P4" s="7" t="s">
        <v>38</v>
      </c>
      <c r="Q4" cm="1">
        <f t="array" ref="Q4">_xlfn.IFS(M4="PASS",1,L4="PASS",0.75,K4="PASS",0.5,J4="PASS",0.25,J4="FAIL",0)</f>
        <v>0</v>
      </c>
    </row>
    <row r="5" spans="1:28" ht="22.5" customHeight="1" x14ac:dyDescent="0.25">
      <c r="A5" s="7" t="s">
        <v>15</v>
      </c>
      <c r="B5" s="7" t="s">
        <v>10</v>
      </c>
      <c r="C5" s="8" t="s">
        <v>11</v>
      </c>
      <c r="D5" s="7">
        <v>156</v>
      </c>
      <c r="E5" s="7" t="s">
        <v>57</v>
      </c>
      <c r="F5" s="10" t="s">
        <v>13</v>
      </c>
      <c r="G5" s="9" t="s">
        <v>58</v>
      </c>
      <c r="H5" s="7" t="s">
        <v>40</v>
      </c>
      <c r="I5" s="7" t="s">
        <v>37</v>
      </c>
      <c r="J5" s="11" t="s">
        <v>14</v>
      </c>
      <c r="K5" s="11" t="s">
        <v>14</v>
      </c>
      <c r="L5" s="11" t="s">
        <v>14</v>
      </c>
      <c r="M5" s="11" t="s">
        <v>14</v>
      </c>
      <c r="P5" s="7" t="s">
        <v>38</v>
      </c>
      <c r="Q5" cm="1">
        <f t="array" ref="Q5">_xlfn.IFS(M5="PASS",1,L5="PASS",0.75,K5="PASS",0.5,J5="PASS",0.25,J5="FAIL",0)</f>
        <v>1</v>
      </c>
    </row>
    <row r="6" spans="1:28" ht="22.5" customHeight="1" x14ac:dyDescent="0.25">
      <c r="A6" s="7" t="s">
        <v>15</v>
      </c>
      <c r="B6" s="7" t="s">
        <v>10</v>
      </c>
      <c r="C6" s="8" t="s">
        <v>11</v>
      </c>
      <c r="D6" s="7">
        <v>156</v>
      </c>
      <c r="E6" s="7" t="s">
        <v>59</v>
      </c>
      <c r="F6" s="10" t="s">
        <v>13</v>
      </c>
      <c r="G6" s="9" t="s">
        <v>60</v>
      </c>
      <c r="H6" s="7" t="s">
        <v>42</v>
      </c>
      <c r="I6" s="7" t="s">
        <v>37</v>
      </c>
      <c r="J6" s="11" t="s">
        <v>14</v>
      </c>
      <c r="K6" s="11" t="s">
        <v>14</v>
      </c>
      <c r="L6" s="11" t="s">
        <v>14</v>
      </c>
      <c r="M6" s="11" t="s">
        <v>14</v>
      </c>
      <c r="P6" s="7" t="s">
        <v>38</v>
      </c>
      <c r="Q6" cm="1">
        <f t="array" ref="Q6">_xlfn.IFS(M6="PASS",1,L6="PASS",0.75,K6="PASS",0.5,J6="PASS",0.25,J6="FAIL",0)</f>
        <v>1</v>
      </c>
    </row>
    <row r="7" spans="1:28" ht="22.5" customHeight="1" x14ac:dyDescent="0.25">
      <c r="A7" s="7" t="s">
        <v>19</v>
      </c>
      <c r="B7" s="7" t="s">
        <v>10</v>
      </c>
      <c r="C7" s="8" t="s">
        <v>11</v>
      </c>
      <c r="D7" s="7">
        <v>130</v>
      </c>
      <c r="E7" s="7" t="s">
        <v>61</v>
      </c>
      <c r="F7" s="10" t="s">
        <v>13</v>
      </c>
      <c r="G7" s="9" t="s">
        <v>62</v>
      </c>
      <c r="H7" s="7" t="s">
        <v>44</v>
      </c>
      <c r="I7" s="7" t="s">
        <v>37</v>
      </c>
      <c r="J7" s="11" t="s">
        <v>14</v>
      </c>
      <c r="K7" s="11" t="s">
        <v>14</v>
      </c>
      <c r="L7" s="11" t="s">
        <v>14</v>
      </c>
      <c r="M7" s="11" t="s">
        <v>14</v>
      </c>
      <c r="P7" s="7" t="s">
        <v>38</v>
      </c>
      <c r="Q7" cm="1">
        <f t="array" ref="Q7">_xlfn.IFS(M7="PASS",1,L7="PASS",0.75,K7="PASS",0.5,J7="PASS",0.25,J7="FAIL",0)</f>
        <v>1</v>
      </c>
    </row>
    <row r="8" spans="1:28" ht="22.5" customHeight="1" x14ac:dyDescent="0.25">
      <c r="A8" s="7" t="s">
        <v>19</v>
      </c>
      <c r="B8" s="7" t="s">
        <v>10</v>
      </c>
      <c r="C8" s="8" t="s">
        <v>11</v>
      </c>
      <c r="D8" s="7">
        <v>130</v>
      </c>
      <c r="E8" s="7" t="s">
        <v>63</v>
      </c>
      <c r="F8" s="10" t="s">
        <v>13</v>
      </c>
      <c r="G8" s="9" t="s">
        <v>64</v>
      </c>
      <c r="H8" s="7" t="s">
        <v>46</v>
      </c>
      <c r="I8" s="7" t="s">
        <v>37</v>
      </c>
      <c r="J8" s="11" t="s">
        <v>14</v>
      </c>
      <c r="K8" s="11" t="s">
        <v>14</v>
      </c>
      <c r="L8" s="11" t="s">
        <v>14</v>
      </c>
      <c r="M8" s="11" t="s">
        <v>14</v>
      </c>
      <c r="P8" s="7" t="s">
        <v>38</v>
      </c>
      <c r="Q8" cm="1">
        <f t="array" ref="Q8">_xlfn.IFS(M8="PASS",1,L8="PASS",0.75,K8="PASS",0.5,J8="PASS",0.25,J8="FAIL",0)</f>
        <v>1</v>
      </c>
    </row>
    <row r="9" spans="1:28" ht="22.5" customHeight="1" x14ac:dyDescent="0.25">
      <c r="A9" s="7" t="s">
        <v>19</v>
      </c>
      <c r="B9" s="7" t="s">
        <v>10</v>
      </c>
      <c r="C9" s="8" t="s">
        <v>11</v>
      </c>
      <c r="D9" s="7">
        <v>130</v>
      </c>
      <c r="E9" s="7" t="s">
        <v>65</v>
      </c>
      <c r="F9" s="10" t="s">
        <v>13</v>
      </c>
      <c r="G9" s="9" t="s">
        <v>66</v>
      </c>
      <c r="H9" s="7" t="s">
        <v>48</v>
      </c>
      <c r="I9" s="7" t="s">
        <v>37</v>
      </c>
      <c r="J9" s="25" t="s">
        <v>17</v>
      </c>
      <c r="K9" s="25" t="s">
        <v>17</v>
      </c>
      <c r="L9" s="25" t="s">
        <v>17</v>
      </c>
      <c r="M9" s="25" t="s">
        <v>17</v>
      </c>
      <c r="P9" s="7" t="s">
        <v>38</v>
      </c>
      <c r="Q9" cm="1">
        <f t="array" ref="Q9">_xlfn.IFS(M9="PASS",1,L9="PASS",0.75,K9="PASS",0.5,J9="PASS",0.25,J9="FAIL",0)</f>
        <v>0</v>
      </c>
    </row>
    <row r="10" spans="1:28" ht="22.5" customHeight="1" x14ac:dyDescent="0.25">
      <c r="A10" s="7" t="s">
        <v>23</v>
      </c>
      <c r="B10" s="7" t="s">
        <v>10</v>
      </c>
      <c r="C10" s="8" t="s">
        <v>11</v>
      </c>
      <c r="D10" s="7">
        <v>165</v>
      </c>
      <c r="E10" s="7" t="s">
        <v>67</v>
      </c>
      <c r="F10" s="10" t="s">
        <v>13</v>
      </c>
      <c r="G10" s="9" t="s">
        <v>68</v>
      </c>
      <c r="H10" s="7" t="s">
        <v>50</v>
      </c>
      <c r="I10" s="7" t="s">
        <v>37</v>
      </c>
      <c r="J10" s="12" t="s">
        <v>17</v>
      </c>
      <c r="K10" s="12" t="s">
        <v>17</v>
      </c>
      <c r="L10" s="12" t="s">
        <v>17</v>
      </c>
      <c r="M10" s="12" t="s">
        <v>17</v>
      </c>
      <c r="P10" s="7" t="s">
        <v>38</v>
      </c>
      <c r="Q10" cm="1">
        <f t="array" ref="Q10">_xlfn.IFS(M10="PASS",1,L10="PASS",0.75,K10="PASS",0.5,J10="PASS",0.25,J10="FAIL",0)</f>
        <v>0</v>
      </c>
    </row>
    <row r="11" spans="1:28" ht="22.5" customHeight="1" x14ac:dyDescent="0.25">
      <c r="A11" s="7" t="s">
        <v>23</v>
      </c>
      <c r="B11" s="7" t="s">
        <v>10</v>
      </c>
      <c r="C11" s="8" t="s">
        <v>11</v>
      </c>
      <c r="D11" s="7">
        <v>165</v>
      </c>
      <c r="E11" s="7" t="s">
        <v>69</v>
      </c>
      <c r="F11" s="10" t="s">
        <v>13</v>
      </c>
      <c r="G11" s="9" t="s">
        <v>70</v>
      </c>
      <c r="H11" s="7" t="s">
        <v>52</v>
      </c>
      <c r="I11" s="7" t="s">
        <v>37</v>
      </c>
      <c r="J11" s="11" t="s">
        <v>14</v>
      </c>
      <c r="K11" s="11" t="s">
        <v>14</v>
      </c>
      <c r="L11" s="11" t="s">
        <v>14</v>
      </c>
      <c r="M11" s="11" t="s">
        <v>14</v>
      </c>
      <c r="P11" s="7" t="s">
        <v>38</v>
      </c>
      <c r="Q11" cm="1">
        <f t="array" ref="Q11">_xlfn.IFS(M11="PASS",1,L11="PASS",0.75,K11="PASS",0.5,J11="PASS",0.25,J11="FAIL",0)</f>
        <v>1</v>
      </c>
    </row>
    <row r="12" spans="1:28" ht="22.5" customHeight="1" x14ac:dyDescent="0.25">
      <c r="A12" s="13" t="s">
        <v>23</v>
      </c>
      <c r="B12" s="13" t="s">
        <v>10</v>
      </c>
      <c r="C12" s="14" t="s">
        <v>11</v>
      </c>
      <c r="D12" s="13">
        <v>165</v>
      </c>
      <c r="E12" s="13" t="s">
        <v>71</v>
      </c>
      <c r="F12" s="16" t="s">
        <v>13</v>
      </c>
      <c r="G12" s="13" t="s">
        <v>72</v>
      </c>
      <c r="H12" s="13" t="s">
        <v>54</v>
      </c>
      <c r="I12" s="13" t="s">
        <v>37</v>
      </c>
      <c r="J12" s="17" t="s">
        <v>14</v>
      </c>
      <c r="K12" s="17" t="s">
        <v>14</v>
      </c>
      <c r="L12" s="17" t="s">
        <v>14</v>
      </c>
      <c r="M12" s="17" t="s">
        <v>14</v>
      </c>
      <c r="N12" s="13"/>
      <c r="O12" s="13"/>
      <c r="P12" s="13" t="s">
        <v>38</v>
      </c>
      <c r="Q12" cm="1">
        <f t="array" ref="Q12">_xlfn.IFS(M12="PASS",1,L12="PASS",0.75,K12="PASS",0.5,J12="PASS",0.25,J12="FAIL",0)</f>
        <v>1</v>
      </c>
      <c r="R12" s="13"/>
      <c r="S12" s="13"/>
      <c r="T12" s="13"/>
      <c r="U12" s="13"/>
    </row>
    <row r="13" spans="1:28" ht="22.5" customHeight="1" x14ac:dyDescent="0.25">
      <c r="A13" s="7" t="s">
        <v>9</v>
      </c>
      <c r="B13" s="7" t="s">
        <v>10</v>
      </c>
      <c r="C13" s="8" t="s">
        <v>11</v>
      </c>
      <c r="D13" s="7">
        <v>138</v>
      </c>
      <c r="E13" s="7" t="s">
        <v>55</v>
      </c>
      <c r="F13" s="8" t="s">
        <v>27</v>
      </c>
      <c r="G13" s="9" t="s">
        <v>56</v>
      </c>
      <c r="H13" s="7" t="s">
        <v>36</v>
      </c>
      <c r="I13" s="7" t="s">
        <v>37</v>
      </c>
      <c r="J13" s="11" t="s">
        <v>14</v>
      </c>
      <c r="K13" s="11" t="s">
        <v>14</v>
      </c>
      <c r="L13" s="25" t="s">
        <v>17</v>
      </c>
      <c r="M13" s="25" t="s">
        <v>17</v>
      </c>
      <c r="P13" s="7" t="s">
        <v>38</v>
      </c>
      <c r="Q13" cm="1">
        <f t="array" ref="Q13">_xlfn.IFS(M13="PASS",1,L13="PASS",0.75,K13="PASS",0.5,J13="PASS",0.25,J13="FAIL",0)</f>
        <v>0.5</v>
      </c>
    </row>
    <row r="14" spans="1:28" ht="22.5" customHeight="1" x14ac:dyDescent="0.25">
      <c r="A14" s="7" t="s">
        <v>15</v>
      </c>
      <c r="B14" s="7" t="s">
        <v>10</v>
      </c>
      <c r="C14" s="8" t="s">
        <v>11</v>
      </c>
      <c r="D14" s="7">
        <v>156</v>
      </c>
      <c r="E14" s="7" t="s">
        <v>57</v>
      </c>
      <c r="F14" s="8" t="s">
        <v>27</v>
      </c>
      <c r="G14" s="9" t="s">
        <v>58</v>
      </c>
      <c r="H14" s="7" t="s">
        <v>40</v>
      </c>
      <c r="I14" s="7" t="s">
        <v>37</v>
      </c>
      <c r="J14" s="11" t="s">
        <v>14</v>
      </c>
      <c r="K14" s="11" t="s">
        <v>14</v>
      </c>
      <c r="L14" s="11" t="s">
        <v>14</v>
      </c>
      <c r="M14" s="11" t="s">
        <v>14</v>
      </c>
      <c r="P14" s="7" t="s">
        <v>38</v>
      </c>
      <c r="Q14" cm="1">
        <f t="array" ref="Q14">_xlfn.IFS(M14="PASS",1,L14="PASS",0.75,K14="PASS",0.5,J14="PASS",0.25,J14="FAIL",0)</f>
        <v>1</v>
      </c>
    </row>
    <row r="15" spans="1:28" ht="22.5" customHeight="1" x14ac:dyDescent="0.25">
      <c r="A15" s="7" t="s">
        <v>15</v>
      </c>
      <c r="B15" s="7" t="s">
        <v>10</v>
      </c>
      <c r="C15" s="8" t="s">
        <v>11</v>
      </c>
      <c r="D15" s="7">
        <v>156</v>
      </c>
      <c r="E15" s="7" t="s">
        <v>59</v>
      </c>
      <c r="F15" s="8" t="s">
        <v>27</v>
      </c>
      <c r="G15" s="9" t="s">
        <v>60</v>
      </c>
      <c r="H15" s="7" t="s">
        <v>42</v>
      </c>
      <c r="I15" s="7" t="s">
        <v>37</v>
      </c>
      <c r="J15" s="11" t="s">
        <v>14</v>
      </c>
      <c r="K15" s="11" t="s">
        <v>14</v>
      </c>
      <c r="L15" s="11" t="s">
        <v>14</v>
      </c>
      <c r="M15" s="11" t="s">
        <v>14</v>
      </c>
      <c r="P15" s="7" t="s">
        <v>38</v>
      </c>
      <c r="Q15" cm="1">
        <f t="array" ref="Q15">_xlfn.IFS(M15="PASS",1,L15="PASS",0.75,K15="PASS",0.5,J15="PASS",0.25,J15="FAIL",0)</f>
        <v>1</v>
      </c>
    </row>
    <row r="16" spans="1:28" ht="22.5" customHeight="1" x14ac:dyDescent="0.25">
      <c r="A16" s="7" t="s">
        <v>19</v>
      </c>
      <c r="B16" s="7" t="s">
        <v>10</v>
      </c>
      <c r="C16" s="8" t="s">
        <v>11</v>
      </c>
      <c r="D16" s="7">
        <v>130</v>
      </c>
      <c r="E16" s="7" t="s">
        <v>61</v>
      </c>
      <c r="F16" s="8" t="s">
        <v>27</v>
      </c>
      <c r="G16" s="9" t="s">
        <v>62</v>
      </c>
      <c r="H16" s="7" t="s">
        <v>44</v>
      </c>
      <c r="I16" s="7" t="s">
        <v>37</v>
      </c>
      <c r="J16" s="11" t="s">
        <v>14</v>
      </c>
      <c r="K16" s="11" t="s">
        <v>14</v>
      </c>
      <c r="L16" s="11" t="s">
        <v>14</v>
      </c>
      <c r="M16" s="11" t="s">
        <v>14</v>
      </c>
      <c r="P16" s="7" t="s">
        <v>38</v>
      </c>
      <c r="Q16" cm="1">
        <f t="array" ref="Q16">_xlfn.IFS(M16="PASS",1,L16="PASS",0.75,K16="PASS",0.5,J16="PASS",0.25,J16="FAIL",0)</f>
        <v>1</v>
      </c>
    </row>
    <row r="17" spans="1:21" ht="22.5" customHeight="1" x14ac:dyDescent="0.25">
      <c r="A17" s="7" t="s">
        <v>19</v>
      </c>
      <c r="B17" s="7" t="s">
        <v>10</v>
      </c>
      <c r="C17" s="8" t="s">
        <v>11</v>
      </c>
      <c r="D17" s="7">
        <v>130</v>
      </c>
      <c r="E17" s="7" t="s">
        <v>63</v>
      </c>
      <c r="F17" s="8" t="s">
        <v>27</v>
      </c>
      <c r="G17" s="9" t="s">
        <v>64</v>
      </c>
      <c r="H17" s="7" t="s">
        <v>46</v>
      </c>
      <c r="I17" s="7" t="s">
        <v>37</v>
      </c>
      <c r="J17" s="11" t="s">
        <v>14</v>
      </c>
      <c r="K17" s="11" t="s">
        <v>14</v>
      </c>
      <c r="L17" s="11" t="s">
        <v>14</v>
      </c>
      <c r="M17" s="11" t="s">
        <v>14</v>
      </c>
      <c r="P17" s="7" t="s">
        <v>38</v>
      </c>
      <c r="Q17" cm="1">
        <f t="array" ref="Q17">_xlfn.IFS(M17="PASS",1,L17="PASS",0.75,K17="PASS",0.5,J17="PASS",0.25,J17="FAIL",0)</f>
        <v>1</v>
      </c>
    </row>
    <row r="18" spans="1:21" ht="22.5" customHeight="1" x14ac:dyDescent="0.25">
      <c r="A18" s="7" t="s">
        <v>19</v>
      </c>
      <c r="B18" s="7" t="s">
        <v>10</v>
      </c>
      <c r="C18" s="8" t="s">
        <v>11</v>
      </c>
      <c r="D18" s="7">
        <v>130</v>
      </c>
      <c r="E18" s="7" t="s">
        <v>65</v>
      </c>
      <c r="F18" s="8" t="s">
        <v>27</v>
      </c>
      <c r="G18" s="9" t="s">
        <v>66</v>
      </c>
      <c r="H18" s="7" t="s">
        <v>48</v>
      </c>
      <c r="I18" s="7" t="s">
        <v>37</v>
      </c>
      <c r="J18" s="11" t="s">
        <v>14</v>
      </c>
      <c r="K18" s="11" t="s">
        <v>14</v>
      </c>
      <c r="L18" s="11" t="s">
        <v>14</v>
      </c>
      <c r="M18" s="11" t="s">
        <v>14</v>
      </c>
      <c r="P18" s="7" t="s">
        <v>38</v>
      </c>
      <c r="Q18" cm="1">
        <f t="array" ref="Q18">_xlfn.IFS(M18="PASS",1,L18="PASS",0.75,K18="PASS",0.5,J18="PASS",0.25,J18="FAIL",0)</f>
        <v>1</v>
      </c>
    </row>
    <row r="19" spans="1:21" ht="22.5" customHeight="1" x14ac:dyDescent="0.25">
      <c r="A19" s="7" t="s">
        <v>23</v>
      </c>
      <c r="B19" s="7" t="s">
        <v>10</v>
      </c>
      <c r="C19" s="8" t="s">
        <v>11</v>
      </c>
      <c r="D19" s="7">
        <v>165</v>
      </c>
      <c r="E19" s="7" t="s">
        <v>67</v>
      </c>
      <c r="F19" s="8" t="s">
        <v>27</v>
      </c>
      <c r="G19" s="9" t="s">
        <v>68</v>
      </c>
      <c r="H19" s="7" t="s">
        <v>50</v>
      </c>
      <c r="I19" s="7" t="s">
        <v>37</v>
      </c>
      <c r="J19" s="11" t="s">
        <v>14</v>
      </c>
      <c r="K19" s="11" t="s">
        <v>14</v>
      </c>
      <c r="L19" s="11" t="s">
        <v>14</v>
      </c>
      <c r="M19" s="11" t="s">
        <v>14</v>
      </c>
      <c r="P19" s="7" t="s">
        <v>38</v>
      </c>
      <c r="Q19" cm="1">
        <f t="array" ref="Q19">_xlfn.IFS(M19="PASS",1,L19="PASS",0.75,K19="PASS",0.5,J19="PASS",0.25,J19="FAIL",0)</f>
        <v>1</v>
      </c>
    </row>
    <row r="20" spans="1:21" ht="22.5" customHeight="1" x14ac:dyDescent="0.25">
      <c r="A20" s="7" t="s">
        <v>23</v>
      </c>
      <c r="B20" s="7" t="s">
        <v>10</v>
      </c>
      <c r="C20" s="8" t="s">
        <v>11</v>
      </c>
      <c r="D20" s="7">
        <v>165</v>
      </c>
      <c r="E20" s="7" t="s">
        <v>69</v>
      </c>
      <c r="F20" s="8" t="s">
        <v>27</v>
      </c>
      <c r="G20" s="9" t="s">
        <v>70</v>
      </c>
      <c r="H20" s="7" t="s">
        <v>52</v>
      </c>
      <c r="I20" s="7" t="s">
        <v>37</v>
      </c>
      <c r="J20" s="11" t="s">
        <v>14</v>
      </c>
      <c r="K20" s="11" t="s">
        <v>14</v>
      </c>
      <c r="L20" s="11" t="s">
        <v>14</v>
      </c>
      <c r="M20" s="11" t="s">
        <v>14</v>
      </c>
      <c r="P20" s="7" t="s">
        <v>38</v>
      </c>
      <c r="Q20" cm="1">
        <f t="array" ref="Q20">_xlfn.IFS(M20="PASS",1,L20="PASS",0.75,K20="PASS",0.5,J20="PASS",0.25,J20="FAIL",0)</f>
        <v>1</v>
      </c>
    </row>
    <row r="21" spans="1:21" ht="22.5" customHeight="1" x14ac:dyDescent="0.25">
      <c r="A21" s="13" t="s">
        <v>23</v>
      </c>
      <c r="B21" s="13" t="s">
        <v>10</v>
      </c>
      <c r="C21" s="14" t="s">
        <v>11</v>
      </c>
      <c r="D21" s="13">
        <v>165</v>
      </c>
      <c r="E21" s="13" t="s">
        <v>71</v>
      </c>
      <c r="F21" s="14" t="s">
        <v>27</v>
      </c>
      <c r="G21" s="13" t="s">
        <v>72</v>
      </c>
      <c r="H21" s="13" t="s">
        <v>54</v>
      </c>
      <c r="I21" s="13" t="s">
        <v>37</v>
      </c>
      <c r="J21" s="17" t="s">
        <v>14</v>
      </c>
      <c r="K21" s="17" t="s">
        <v>14</v>
      </c>
      <c r="L21" s="17" t="s">
        <v>14</v>
      </c>
      <c r="M21" s="17" t="s">
        <v>14</v>
      </c>
      <c r="N21" s="13"/>
      <c r="O21" s="13"/>
      <c r="P21" s="13" t="s">
        <v>38</v>
      </c>
      <c r="Q21" cm="1">
        <f t="array" ref="Q21">_xlfn.IFS(M21="PASS",1,L21="PASS",0.75,K21="PASS",0.5,J21="PASS",0.25,J21="FAIL",0)</f>
        <v>1</v>
      </c>
      <c r="R21" s="13"/>
      <c r="S21" s="13"/>
      <c r="T21" s="13"/>
      <c r="U21" s="13"/>
    </row>
    <row r="22" spans="1:21" ht="22.5" customHeight="1" x14ac:dyDescent="0.25">
      <c r="A22" s="7" t="s">
        <v>9</v>
      </c>
      <c r="B22" s="7" t="s">
        <v>10</v>
      </c>
      <c r="C22" s="8" t="s">
        <v>11</v>
      </c>
      <c r="D22" s="7">
        <v>138</v>
      </c>
      <c r="E22" s="7" t="s">
        <v>55</v>
      </c>
      <c r="F22" s="18" t="s">
        <v>28</v>
      </c>
      <c r="G22" s="9" t="s">
        <v>56</v>
      </c>
      <c r="H22" s="7" t="s">
        <v>36</v>
      </c>
      <c r="I22" s="7" t="s">
        <v>37</v>
      </c>
      <c r="J22" s="11" t="s">
        <v>14</v>
      </c>
      <c r="K22" s="11" t="s">
        <v>14</v>
      </c>
      <c r="L22" s="11" t="s">
        <v>14</v>
      </c>
      <c r="M22" s="25" t="s">
        <v>17</v>
      </c>
      <c r="P22" s="7" t="s">
        <v>38</v>
      </c>
      <c r="Q22" cm="1">
        <f t="array" ref="Q22">_xlfn.IFS(M22="PASS",1,L22="PASS",0.75,K22="PASS",0.5,J22="PASS",0.25,J22="FAIL",0)</f>
        <v>0.75</v>
      </c>
    </row>
    <row r="23" spans="1:21" ht="22.5" customHeight="1" x14ac:dyDescent="0.25">
      <c r="A23" s="7" t="s">
        <v>15</v>
      </c>
      <c r="B23" s="7" t="s">
        <v>10</v>
      </c>
      <c r="C23" s="8" t="s">
        <v>11</v>
      </c>
      <c r="D23" s="7">
        <v>156</v>
      </c>
      <c r="E23" s="7" t="s">
        <v>57</v>
      </c>
      <c r="F23" s="18" t="s">
        <v>28</v>
      </c>
      <c r="G23" s="9" t="s">
        <v>58</v>
      </c>
      <c r="H23" s="7" t="s">
        <v>40</v>
      </c>
      <c r="I23" s="7" t="s">
        <v>37</v>
      </c>
      <c r="J23" s="11" t="s">
        <v>14</v>
      </c>
      <c r="K23" s="11" t="s">
        <v>14</v>
      </c>
      <c r="L23" s="11" t="s">
        <v>14</v>
      </c>
      <c r="M23" s="11" t="s">
        <v>14</v>
      </c>
      <c r="P23" s="7" t="s">
        <v>38</v>
      </c>
      <c r="Q23" cm="1">
        <f t="array" ref="Q23">_xlfn.IFS(M23="PASS",1,L23="PASS",0.75,K23="PASS",0.5,J23="PASS",0.25,J23="FAIL",0)</f>
        <v>1</v>
      </c>
    </row>
    <row r="24" spans="1:21" ht="22.5" customHeight="1" x14ac:dyDescent="0.25">
      <c r="A24" s="7" t="s">
        <v>15</v>
      </c>
      <c r="B24" s="7" t="s">
        <v>10</v>
      </c>
      <c r="C24" s="8" t="s">
        <v>11</v>
      </c>
      <c r="D24" s="7">
        <v>156</v>
      </c>
      <c r="E24" s="7" t="s">
        <v>59</v>
      </c>
      <c r="F24" s="18" t="s">
        <v>28</v>
      </c>
      <c r="G24" s="9" t="s">
        <v>60</v>
      </c>
      <c r="H24" s="7" t="s">
        <v>42</v>
      </c>
      <c r="I24" s="7" t="s">
        <v>37</v>
      </c>
      <c r="J24" s="11" t="s">
        <v>14</v>
      </c>
      <c r="K24" s="11" t="s">
        <v>14</v>
      </c>
      <c r="L24" s="11" t="s">
        <v>14</v>
      </c>
      <c r="M24" s="11" t="s">
        <v>14</v>
      </c>
      <c r="P24" s="7" t="s">
        <v>38</v>
      </c>
      <c r="Q24" cm="1">
        <f t="array" ref="Q24">_xlfn.IFS(M24="PASS",1,L24="PASS",0.75,K24="PASS",0.5,J24="PASS",0.25,J24="FAIL",0)</f>
        <v>1</v>
      </c>
    </row>
    <row r="25" spans="1:21" ht="22.5" customHeight="1" x14ac:dyDescent="0.25">
      <c r="A25" s="7" t="s">
        <v>19</v>
      </c>
      <c r="B25" s="7" t="s">
        <v>10</v>
      </c>
      <c r="C25" s="8" t="s">
        <v>11</v>
      </c>
      <c r="D25" s="7">
        <v>130</v>
      </c>
      <c r="E25" s="7" t="s">
        <v>61</v>
      </c>
      <c r="F25" s="18" t="s">
        <v>28</v>
      </c>
      <c r="G25" s="9" t="s">
        <v>62</v>
      </c>
      <c r="H25" s="7" t="s">
        <v>44</v>
      </c>
      <c r="I25" s="7" t="s">
        <v>37</v>
      </c>
      <c r="J25" s="11" t="s">
        <v>14</v>
      </c>
      <c r="K25" s="11" t="s">
        <v>14</v>
      </c>
      <c r="L25" s="11" t="s">
        <v>14</v>
      </c>
      <c r="M25" s="11" t="s">
        <v>14</v>
      </c>
      <c r="P25" s="7"/>
      <c r="Q25" cm="1">
        <f t="array" ref="Q25">_xlfn.IFS(M25="PASS",1,L25="PASS",0.75,K25="PASS",0.5,J25="PASS",0.25,J25="FAIL",0)</f>
        <v>1</v>
      </c>
    </row>
    <row r="26" spans="1:21" ht="22.5" customHeight="1" x14ac:dyDescent="0.25">
      <c r="A26" s="7" t="s">
        <v>19</v>
      </c>
      <c r="B26" s="7" t="s">
        <v>10</v>
      </c>
      <c r="C26" s="8" t="s">
        <v>11</v>
      </c>
      <c r="D26" s="7">
        <v>130</v>
      </c>
      <c r="E26" s="7" t="s">
        <v>63</v>
      </c>
      <c r="F26" s="18" t="s">
        <v>28</v>
      </c>
      <c r="G26" s="9" t="s">
        <v>64</v>
      </c>
      <c r="H26" s="7" t="s">
        <v>46</v>
      </c>
      <c r="I26" s="7" t="s">
        <v>37</v>
      </c>
      <c r="J26" s="11" t="s">
        <v>14</v>
      </c>
      <c r="K26" s="11" t="s">
        <v>14</v>
      </c>
      <c r="L26" s="11" t="s">
        <v>14</v>
      </c>
      <c r="M26" s="11" t="s">
        <v>14</v>
      </c>
      <c r="P26" s="7" t="s">
        <v>38</v>
      </c>
      <c r="Q26" cm="1">
        <f t="array" ref="Q26">_xlfn.IFS(M26="PASS",1,L26="PASS",0.75,K26="PASS",0.5,J26="PASS",0.25,J26="FAIL",0)</f>
        <v>1</v>
      </c>
    </row>
    <row r="27" spans="1:21" ht="22.5" customHeight="1" x14ac:dyDescent="0.25">
      <c r="A27" s="7" t="s">
        <v>19</v>
      </c>
      <c r="B27" s="7" t="s">
        <v>10</v>
      </c>
      <c r="C27" s="8" t="s">
        <v>11</v>
      </c>
      <c r="D27" s="7">
        <v>130</v>
      </c>
      <c r="E27" s="7" t="s">
        <v>65</v>
      </c>
      <c r="F27" s="18" t="s">
        <v>28</v>
      </c>
      <c r="G27" s="9" t="s">
        <v>66</v>
      </c>
      <c r="H27" s="7" t="s">
        <v>48</v>
      </c>
      <c r="I27" s="7" t="s">
        <v>37</v>
      </c>
      <c r="J27" s="11" t="s">
        <v>14</v>
      </c>
      <c r="K27" s="11" t="s">
        <v>14</v>
      </c>
      <c r="L27" s="11" t="s">
        <v>14</v>
      </c>
      <c r="M27" s="11" t="s">
        <v>14</v>
      </c>
      <c r="P27" s="7" t="s">
        <v>38</v>
      </c>
      <c r="Q27" cm="1">
        <f t="array" ref="Q27">_xlfn.IFS(M27="PASS",1,L27="PASS",0.75,K27="PASS",0.5,J27="PASS",0.25,J27="FAIL",0)</f>
        <v>1</v>
      </c>
    </row>
    <row r="28" spans="1:21" ht="22.5" customHeight="1" x14ac:dyDescent="0.25">
      <c r="A28" s="7" t="s">
        <v>23</v>
      </c>
      <c r="B28" s="7" t="s">
        <v>10</v>
      </c>
      <c r="C28" s="8" t="s">
        <v>11</v>
      </c>
      <c r="D28" s="7">
        <v>165</v>
      </c>
      <c r="E28" s="7" t="s">
        <v>67</v>
      </c>
      <c r="F28" s="18" t="s">
        <v>28</v>
      </c>
      <c r="G28" s="9" t="s">
        <v>68</v>
      </c>
      <c r="H28" s="7" t="s">
        <v>50</v>
      </c>
      <c r="I28" s="7" t="s">
        <v>37</v>
      </c>
      <c r="J28" s="11" t="s">
        <v>14</v>
      </c>
      <c r="K28" s="11" t="s">
        <v>14</v>
      </c>
      <c r="L28" s="11" t="s">
        <v>14</v>
      </c>
      <c r="M28" s="11" t="s">
        <v>14</v>
      </c>
      <c r="P28" s="7" t="s">
        <v>38</v>
      </c>
      <c r="Q28" cm="1">
        <f t="array" ref="Q28">_xlfn.IFS(M28="PASS",1,L28="PASS",0.75,K28="PASS",0.5,J28="PASS",0.25,J28="FAIL",0)</f>
        <v>1</v>
      </c>
    </row>
    <row r="29" spans="1:21" ht="22.5" customHeight="1" x14ac:dyDescent="0.25">
      <c r="A29" s="7" t="s">
        <v>23</v>
      </c>
      <c r="B29" s="7" t="s">
        <v>10</v>
      </c>
      <c r="C29" s="8" t="s">
        <v>11</v>
      </c>
      <c r="D29" s="7">
        <v>165</v>
      </c>
      <c r="E29" s="7" t="s">
        <v>69</v>
      </c>
      <c r="F29" s="18" t="s">
        <v>28</v>
      </c>
      <c r="G29" s="9" t="s">
        <v>70</v>
      </c>
      <c r="H29" s="7" t="s">
        <v>52</v>
      </c>
      <c r="I29" s="7" t="s">
        <v>37</v>
      </c>
      <c r="J29" s="11" t="s">
        <v>14</v>
      </c>
      <c r="K29" s="11" t="s">
        <v>14</v>
      </c>
      <c r="L29" s="11" t="s">
        <v>14</v>
      </c>
      <c r="M29" s="11" t="s">
        <v>14</v>
      </c>
      <c r="P29" s="7" t="s">
        <v>38</v>
      </c>
      <c r="Q29" cm="1">
        <f t="array" ref="Q29">_xlfn.IFS(M29="PASS",1,L29="PASS",0.75,K29="PASS",0.5,J29="PASS",0.25,J29="FAIL",0)</f>
        <v>1</v>
      </c>
    </row>
    <row r="30" spans="1:21" ht="22.5" customHeight="1" x14ac:dyDescent="0.25">
      <c r="A30" s="13" t="s">
        <v>23</v>
      </c>
      <c r="B30" s="13" t="s">
        <v>10</v>
      </c>
      <c r="C30" s="14" t="s">
        <v>11</v>
      </c>
      <c r="D30" s="13">
        <v>165</v>
      </c>
      <c r="E30" s="13" t="s">
        <v>71</v>
      </c>
      <c r="F30" s="19" t="s">
        <v>28</v>
      </c>
      <c r="G30" s="13" t="s">
        <v>72</v>
      </c>
      <c r="H30" s="13" t="s">
        <v>54</v>
      </c>
      <c r="I30" s="13" t="s">
        <v>37</v>
      </c>
      <c r="J30" s="17" t="s">
        <v>14</v>
      </c>
      <c r="K30" s="17" t="s">
        <v>14</v>
      </c>
      <c r="L30" s="17" t="s">
        <v>14</v>
      </c>
      <c r="M30" s="17" t="s">
        <v>14</v>
      </c>
      <c r="N30" s="13"/>
      <c r="O30" s="13"/>
      <c r="P30" s="13" t="s">
        <v>38</v>
      </c>
      <c r="Q30" cm="1">
        <f t="array" ref="Q30">_xlfn.IFS(M30="PASS",1,L30="PASS",0.75,K30="PASS",0.5,J30="PASS",0.25,J30="FAIL",0)</f>
        <v>1</v>
      </c>
      <c r="R30" s="13"/>
      <c r="S30" s="13"/>
      <c r="T30" s="13"/>
      <c r="U30" s="13"/>
    </row>
    <row r="31" spans="1:21" ht="22.5" customHeight="1" x14ac:dyDescent="0.25">
      <c r="A31" s="7" t="s">
        <v>9</v>
      </c>
      <c r="B31" s="7" t="s">
        <v>10</v>
      </c>
      <c r="C31" s="8" t="s">
        <v>11</v>
      </c>
      <c r="D31" s="7">
        <v>138</v>
      </c>
      <c r="E31" s="7" t="s">
        <v>55</v>
      </c>
      <c r="F31" s="20" t="s">
        <v>29</v>
      </c>
      <c r="G31" s="9" t="s">
        <v>56</v>
      </c>
      <c r="H31" s="7" t="s">
        <v>36</v>
      </c>
      <c r="I31" s="7" t="s">
        <v>37</v>
      </c>
      <c r="J31" s="11" t="s">
        <v>14</v>
      </c>
      <c r="K31" s="11" t="s">
        <v>14</v>
      </c>
      <c r="L31" s="11" t="s">
        <v>14</v>
      </c>
      <c r="M31" s="11" t="s">
        <v>14</v>
      </c>
      <c r="P31" s="7" t="s">
        <v>38</v>
      </c>
      <c r="Q31" cm="1">
        <f t="array" ref="Q31">_xlfn.IFS(M31="PASS",1,L31="PASS",0.75,K31="PASS",0.5,J31="PASS",0.25,J31="FAIL",0)</f>
        <v>1</v>
      </c>
    </row>
    <row r="32" spans="1:21" ht="22.5" customHeight="1" x14ac:dyDescent="0.25">
      <c r="A32" s="7" t="s">
        <v>15</v>
      </c>
      <c r="B32" s="7" t="s">
        <v>10</v>
      </c>
      <c r="C32" s="8" t="s">
        <v>11</v>
      </c>
      <c r="D32" s="7">
        <v>156</v>
      </c>
      <c r="E32" s="7" t="s">
        <v>57</v>
      </c>
      <c r="F32" s="20" t="s">
        <v>29</v>
      </c>
      <c r="G32" s="9" t="s">
        <v>58</v>
      </c>
      <c r="H32" s="7" t="s">
        <v>40</v>
      </c>
      <c r="I32" s="7" t="s">
        <v>37</v>
      </c>
      <c r="J32" s="11" t="s">
        <v>14</v>
      </c>
      <c r="K32" s="11" t="s">
        <v>14</v>
      </c>
      <c r="L32" s="11" t="s">
        <v>14</v>
      </c>
      <c r="M32" s="11" t="s">
        <v>14</v>
      </c>
      <c r="P32" s="7" t="s">
        <v>38</v>
      </c>
      <c r="Q32" cm="1">
        <f t="array" ref="Q32">_xlfn.IFS(M32="PASS",1,L32="PASS",0.75,K32="PASS",0.5,J32="PASS",0.25,J32="FAIL",0)</f>
        <v>1</v>
      </c>
    </row>
    <row r="33" spans="1:17" ht="22.5" customHeight="1" x14ac:dyDescent="0.25">
      <c r="A33" s="7" t="s">
        <v>15</v>
      </c>
      <c r="B33" s="7" t="s">
        <v>10</v>
      </c>
      <c r="C33" s="8" t="s">
        <v>11</v>
      </c>
      <c r="D33" s="7">
        <v>156</v>
      </c>
      <c r="E33" s="7" t="s">
        <v>59</v>
      </c>
      <c r="F33" s="20" t="s">
        <v>29</v>
      </c>
      <c r="G33" s="9" t="s">
        <v>60</v>
      </c>
      <c r="H33" s="7" t="s">
        <v>42</v>
      </c>
      <c r="I33" s="7" t="s">
        <v>37</v>
      </c>
      <c r="J33" s="11" t="s">
        <v>14</v>
      </c>
      <c r="K33" s="11" t="s">
        <v>14</v>
      </c>
      <c r="L33" s="11" t="s">
        <v>14</v>
      </c>
      <c r="M33" s="11" t="s">
        <v>14</v>
      </c>
      <c r="P33" s="7" t="s">
        <v>38</v>
      </c>
      <c r="Q33" cm="1">
        <f t="array" ref="Q33">_xlfn.IFS(M33="PASS",1,L33="PASS",0.75,K33="PASS",0.5,J33="PASS",0.25,J33="FAIL",0)</f>
        <v>1</v>
      </c>
    </row>
    <row r="34" spans="1:17" ht="22.5" customHeight="1" x14ac:dyDescent="0.25">
      <c r="A34" s="7" t="s">
        <v>19</v>
      </c>
      <c r="B34" s="7" t="s">
        <v>10</v>
      </c>
      <c r="C34" s="8" t="s">
        <v>11</v>
      </c>
      <c r="D34" s="7">
        <v>130</v>
      </c>
      <c r="E34" s="7" t="s">
        <v>61</v>
      </c>
      <c r="F34" s="20" t="s">
        <v>29</v>
      </c>
      <c r="G34" s="9" t="s">
        <v>62</v>
      </c>
      <c r="H34" s="7" t="s">
        <v>44</v>
      </c>
      <c r="I34" s="7" t="s">
        <v>37</v>
      </c>
      <c r="J34" s="11" t="s">
        <v>14</v>
      </c>
      <c r="K34" s="11" t="s">
        <v>14</v>
      </c>
      <c r="L34" s="11" t="s">
        <v>14</v>
      </c>
      <c r="M34" s="11" t="s">
        <v>14</v>
      </c>
      <c r="P34" s="7"/>
      <c r="Q34" cm="1">
        <f t="array" ref="Q34">_xlfn.IFS(M34="PASS",1,L34="PASS",0.75,K34="PASS",0.5,J34="PASS",0.25,J34="FAIL",0)</f>
        <v>1</v>
      </c>
    </row>
    <row r="35" spans="1:17" ht="22.5" customHeight="1" x14ac:dyDescent="0.25">
      <c r="A35" s="7" t="s">
        <v>19</v>
      </c>
      <c r="B35" s="7" t="s">
        <v>10</v>
      </c>
      <c r="C35" s="8" t="s">
        <v>11</v>
      </c>
      <c r="D35" s="7">
        <v>130</v>
      </c>
      <c r="E35" s="7" t="s">
        <v>63</v>
      </c>
      <c r="F35" s="20" t="s">
        <v>29</v>
      </c>
      <c r="G35" s="9" t="s">
        <v>64</v>
      </c>
      <c r="H35" s="7" t="s">
        <v>46</v>
      </c>
      <c r="I35" s="7" t="s">
        <v>37</v>
      </c>
      <c r="J35" s="11" t="s">
        <v>14</v>
      </c>
      <c r="K35" s="11" t="s">
        <v>14</v>
      </c>
      <c r="L35" s="11" t="s">
        <v>14</v>
      </c>
      <c r="M35" s="11" t="s">
        <v>14</v>
      </c>
      <c r="P35" s="7" t="s">
        <v>38</v>
      </c>
      <c r="Q35" cm="1">
        <f t="array" ref="Q35">_xlfn.IFS(M35="PASS",1,L35="PASS",0.75,K35="PASS",0.5,J35="PASS",0.25,J35="FAIL",0)</f>
        <v>1</v>
      </c>
    </row>
    <row r="36" spans="1:17" ht="22.5" customHeight="1" x14ac:dyDescent="0.25">
      <c r="A36" s="7" t="s">
        <v>19</v>
      </c>
      <c r="B36" s="7" t="s">
        <v>10</v>
      </c>
      <c r="C36" s="8" t="s">
        <v>11</v>
      </c>
      <c r="D36" s="7">
        <v>130</v>
      </c>
      <c r="E36" s="7" t="s">
        <v>65</v>
      </c>
      <c r="F36" s="20" t="s">
        <v>29</v>
      </c>
      <c r="G36" s="9" t="s">
        <v>66</v>
      </c>
      <c r="H36" s="7" t="s">
        <v>48</v>
      </c>
      <c r="I36" s="7" t="s">
        <v>37</v>
      </c>
      <c r="J36" s="11" t="s">
        <v>14</v>
      </c>
      <c r="K36" s="11" t="s">
        <v>14</v>
      </c>
      <c r="L36" s="11" t="s">
        <v>14</v>
      </c>
      <c r="M36" s="11" t="s">
        <v>14</v>
      </c>
      <c r="P36" s="7" t="s">
        <v>38</v>
      </c>
      <c r="Q36" cm="1">
        <f t="array" ref="Q36">_xlfn.IFS(M36="PASS",1,L36="PASS",0.75,K36="PASS",0.5,J36="PASS",0.25,J36="FAIL",0)</f>
        <v>1</v>
      </c>
    </row>
    <row r="37" spans="1:17" ht="22.5" customHeight="1" x14ac:dyDescent="0.25">
      <c r="A37" s="7" t="s">
        <v>23</v>
      </c>
      <c r="B37" s="7" t="s">
        <v>10</v>
      </c>
      <c r="C37" s="8" t="s">
        <v>11</v>
      </c>
      <c r="D37" s="7">
        <v>165</v>
      </c>
      <c r="E37" s="7" t="s">
        <v>67</v>
      </c>
      <c r="F37" s="20" t="s">
        <v>29</v>
      </c>
      <c r="G37" s="9" t="s">
        <v>68</v>
      </c>
      <c r="H37" s="7" t="s">
        <v>50</v>
      </c>
      <c r="I37" s="7" t="s">
        <v>37</v>
      </c>
      <c r="J37" s="11" t="s">
        <v>14</v>
      </c>
      <c r="K37" s="11" t="s">
        <v>14</v>
      </c>
      <c r="L37" s="11" t="s">
        <v>14</v>
      </c>
      <c r="M37" s="12" t="s">
        <v>17</v>
      </c>
      <c r="P37" s="7" t="s">
        <v>38</v>
      </c>
      <c r="Q37" cm="1">
        <f t="array" ref="Q37">_xlfn.IFS(M37="PASS",1,L37="PASS",0.75,K37="PASS",0.5,J37="PASS",0.25,J37="FAIL",0)</f>
        <v>0.75</v>
      </c>
    </row>
    <row r="38" spans="1:17" ht="22.5" customHeight="1" x14ac:dyDescent="0.25">
      <c r="A38" s="7" t="s">
        <v>23</v>
      </c>
      <c r="B38" s="7" t="s">
        <v>10</v>
      </c>
      <c r="C38" s="8" t="s">
        <v>11</v>
      </c>
      <c r="D38" s="7">
        <v>165</v>
      </c>
      <c r="E38" s="7" t="s">
        <v>69</v>
      </c>
      <c r="F38" s="20" t="s">
        <v>29</v>
      </c>
      <c r="G38" s="9" t="s">
        <v>70</v>
      </c>
      <c r="H38" s="7" t="s">
        <v>52</v>
      </c>
      <c r="I38" s="7" t="s">
        <v>37</v>
      </c>
      <c r="J38" s="11" t="s">
        <v>14</v>
      </c>
      <c r="K38" s="11" t="s">
        <v>14</v>
      </c>
      <c r="L38" s="11" t="s">
        <v>14</v>
      </c>
      <c r="M38" s="11" t="s">
        <v>14</v>
      </c>
      <c r="P38" s="7" t="s">
        <v>38</v>
      </c>
      <c r="Q38" cm="1">
        <f t="array" ref="Q38">_xlfn.IFS(M38="PASS",1,L38="PASS",0.75,K38="PASS",0.5,J38="PASS",0.25,J38="FAIL",0)</f>
        <v>1</v>
      </c>
    </row>
    <row r="39" spans="1:17" ht="22.5" customHeight="1" x14ac:dyDescent="0.25">
      <c r="A39" s="7" t="s">
        <v>23</v>
      </c>
      <c r="B39" s="7" t="s">
        <v>10</v>
      </c>
      <c r="C39" s="8" t="s">
        <v>11</v>
      </c>
      <c r="D39" s="7">
        <v>165</v>
      </c>
      <c r="E39" s="7" t="s">
        <v>71</v>
      </c>
      <c r="F39" s="20" t="s">
        <v>29</v>
      </c>
      <c r="G39" s="7" t="s">
        <v>72</v>
      </c>
      <c r="H39" s="7" t="s">
        <v>54</v>
      </c>
      <c r="I39" s="7" t="s">
        <v>37</v>
      </c>
      <c r="J39" s="11" t="s">
        <v>14</v>
      </c>
      <c r="K39" s="11" t="s">
        <v>14</v>
      </c>
      <c r="L39" s="11" t="s">
        <v>14</v>
      </c>
      <c r="M39" s="11" t="s">
        <v>14</v>
      </c>
      <c r="P39" s="7" t="s">
        <v>38</v>
      </c>
      <c r="Q39" cm="1">
        <f t="array" ref="Q39">_xlfn.IFS(M39="PASS",1,L39="PASS",0.75,K39="PASS",0.5,J39="PASS",0.25,J39="FAIL",0)</f>
        <v>1</v>
      </c>
    </row>
    <row r="40" spans="1:17" ht="12.5" x14ac:dyDescent="0.25">
      <c r="J40" s="21">
        <f t="shared" ref="J40:M40" si="0">(COUNTIF(J4:J39,"PASS") / (COUNTIF(J4:J39,"PASS") + COUNTIF(J4:J39,"FAIL"))) * 100</f>
        <v>91.666666666666657</v>
      </c>
      <c r="K40" s="21">
        <f t="shared" si="0"/>
        <v>91.666666666666657</v>
      </c>
      <c r="L40" s="21">
        <f t="shared" si="0"/>
        <v>88.888888888888886</v>
      </c>
      <c r="M40" s="21">
        <f t="shared" si="0"/>
        <v>83.333333333333343</v>
      </c>
      <c r="Q40" t="e" cm="1">
        <f t="array" ref="Q40">_xlfn.IFS(M40="PASS",1,L40="PASS",0.75,K40="PASS",0.5,J40="PASS",0.25,J40="FAIL",0)</f>
        <v>#N/A</v>
      </c>
    </row>
    <row r="41" spans="1:17" ht="12.5" x14ac:dyDescent="0.25">
      <c r="J41" s="22"/>
      <c r="K41" s="22"/>
      <c r="L41" s="22"/>
      <c r="M41" s="22"/>
    </row>
    <row r="44" spans="1:17" ht="12.5" x14ac:dyDescent="0.25">
      <c r="I44" s="24"/>
    </row>
    <row r="46" spans="1:17" ht="12.5" x14ac:dyDescent="0.25">
      <c r="I46" s="24"/>
    </row>
    <row r="48" spans="1:17" ht="12.5" x14ac:dyDescent="0.25">
      <c r="I48" s="24"/>
    </row>
    <row r="50" spans="9:9" ht="12.5" x14ac:dyDescent="0.25">
      <c r="I50" s="24"/>
    </row>
  </sheetData>
  <mergeCells count="3">
    <mergeCell ref="A2:D2"/>
    <mergeCell ref="E2:F2"/>
    <mergeCell ref="G2:O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954"/>
  <sheetViews>
    <sheetView workbookViewId="0">
      <selection activeCell="N4" sqref="N4"/>
    </sheetView>
  </sheetViews>
  <sheetFormatPr defaultColWidth="12.6328125" defaultRowHeight="15.75" customHeight="1" x14ac:dyDescent="0.25"/>
  <cols>
    <col min="1" max="1" width="9.7265625" customWidth="1"/>
    <col min="2" max="2" width="13.90625" customWidth="1"/>
    <col min="3" max="3" width="9.453125" customWidth="1"/>
    <col min="4" max="4" width="7.6328125" customWidth="1"/>
    <col min="5" max="5" width="42.453125" customWidth="1"/>
    <col min="6" max="6" width="16.453125" customWidth="1"/>
    <col min="7" max="7" width="20.453125" hidden="1" customWidth="1"/>
    <col min="8" max="11" width="10.08984375" customWidth="1"/>
    <col min="12" max="12" width="15" hidden="1" customWidth="1"/>
    <col min="13" max="13" width="13.6328125" hidden="1" customWidth="1"/>
  </cols>
  <sheetData>
    <row r="1" spans="1:25" ht="12.5" x14ac:dyDescent="0.25">
      <c r="E1" s="9"/>
      <c r="G1" s="9"/>
    </row>
    <row r="2" spans="1:25" ht="21" customHeight="1" x14ac:dyDescent="0.35">
      <c r="A2" s="34" t="s">
        <v>0</v>
      </c>
      <c r="B2" s="35"/>
      <c r="C2" s="35"/>
      <c r="D2" s="35"/>
      <c r="E2" s="36"/>
      <c r="F2" s="35"/>
      <c r="G2" s="37" t="s">
        <v>73</v>
      </c>
      <c r="H2" s="35"/>
      <c r="I2" s="35"/>
      <c r="J2" s="35"/>
      <c r="K2" s="35"/>
      <c r="L2" s="35"/>
      <c r="M2" s="35"/>
      <c r="N2" s="2"/>
      <c r="O2" s="2"/>
      <c r="P2" s="2"/>
      <c r="Q2" s="2"/>
      <c r="R2" s="2"/>
      <c r="S2" s="2"/>
      <c r="T2" s="2"/>
      <c r="U2" s="2"/>
      <c r="V2" s="2"/>
      <c r="W2" s="2"/>
      <c r="X2" s="2"/>
      <c r="Y2" s="2"/>
    </row>
    <row r="3" spans="1:25" ht="20.25" customHeight="1" x14ac:dyDescent="0.3">
      <c r="A3" s="3" t="s">
        <v>2</v>
      </c>
      <c r="B3" s="3" t="s">
        <v>3</v>
      </c>
      <c r="C3" s="3" t="s">
        <v>4</v>
      </c>
      <c r="D3" s="3" t="s">
        <v>5</v>
      </c>
      <c r="E3" s="4" t="s">
        <v>1</v>
      </c>
      <c r="F3" s="3" t="s">
        <v>6</v>
      </c>
      <c r="G3" s="4" t="s">
        <v>74</v>
      </c>
      <c r="H3" s="5">
        <v>0.25</v>
      </c>
      <c r="I3" s="5">
        <v>0.5</v>
      </c>
      <c r="J3" s="5">
        <v>0.75</v>
      </c>
      <c r="K3" s="5">
        <v>1</v>
      </c>
      <c r="L3" s="3" t="s">
        <v>7</v>
      </c>
      <c r="M3" s="3" t="s">
        <v>8</v>
      </c>
      <c r="N3" s="6"/>
      <c r="O3" s="6"/>
      <c r="P3" s="6"/>
      <c r="Q3" s="6"/>
      <c r="R3" s="6"/>
      <c r="S3" s="6"/>
      <c r="T3" s="6"/>
      <c r="U3" s="6"/>
      <c r="V3" s="6"/>
      <c r="W3" s="6"/>
      <c r="X3" s="6"/>
      <c r="Y3" s="6"/>
    </row>
    <row r="4" spans="1:25" ht="22.5" customHeight="1" x14ac:dyDescent="0.25">
      <c r="A4" s="7" t="s">
        <v>9</v>
      </c>
      <c r="B4" s="7" t="s">
        <v>10</v>
      </c>
      <c r="C4" s="26" t="s">
        <v>75</v>
      </c>
      <c r="D4" s="7">
        <v>436</v>
      </c>
      <c r="E4" s="9" t="s">
        <v>12</v>
      </c>
      <c r="F4" s="10" t="s">
        <v>13</v>
      </c>
      <c r="G4" s="9" t="s">
        <v>76</v>
      </c>
      <c r="H4" s="11" t="s">
        <v>14</v>
      </c>
      <c r="I4" s="11" t="s">
        <v>14</v>
      </c>
      <c r="J4" s="11" t="s">
        <v>14</v>
      </c>
      <c r="K4" s="11" t="s">
        <v>14</v>
      </c>
      <c r="N4" cm="1">
        <f t="array" ref="N4">_xlfn.IFS(K4="PASS",1,J4="PASS",0.75,I4="PASS",0.5,H4="PASS",0.25,H4="FAIL",0)</f>
        <v>1</v>
      </c>
    </row>
    <row r="5" spans="1:25" ht="22.5" customHeight="1" x14ac:dyDescent="0.25">
      <c r="A5" s="7" t="s">
        <v>15</v>
      </c>
      <c r="B5" s="7" t="s">
        <v>10</v>
      </c>
      <c r="C5" s="26" t="s">
        <v>75</v>
      </c>
      <c r="D5" s="7">
        <v>630</v>
      </c>
      <c r="E5" s="9" t="s">
        <v>16</v>
      </c>
      <c r="F5" s="10" t="s">
        <v>13</v>
      </c>
      <c r="G5" s="9" t="s">
        <v>77</v>
      </c>
      <c r="H5" s="11" t="s">
        <v>14</v>
      </c>
      <c r="I5" s="11" t="s">
        <v>14</v>
      </c>
      <c r="J5" s="11" t="s">
        <v>14</v>
      </c>
      <c r="K5" s="11" t="s">
        <v>14</v>
      </c>
      <c r="N5" cm="1">
        <f t="array" ref="N5">_xlfn.IFS(K5="PASS",1,J5="PASS",0.75,I5="PASS",0.5,H5="PASS",0.25,H5="FAIL",0)</f>
        <v>1</v>
      </c>
    </row>
    <row r="6" spans="1:25" ht="22.5" customHeight="1" x14ac:dyDescent="0.25">
      <c r="A6" s="7" t="s">
        <v>15</v>
      </c>
      <c r="B6" s="7" t="s">
        <v>10</v>
      </c>
      <c r="C6" s="26" t="s">
        <v>75</v>
      </c>
      <c r="D6" s="7">
        <v>630</v>
      </c>
      <c r="E6" s="9" t="s">
        <v>18</v>
      </c>
      <c r="F6" s="10" t="s">
        <v>13</v>
      </c>
      <c r="G6" s="9" t="s">
        <v>78</v>
      </c>
      <c r="H6" s="11" t="s">
        <v>14</v>
      </c>
      <c r="I6" s="11" t="s">
        <v>14</v>
      </c>
      <c r="J6" s="11" t="s">
        <v>14</v>
      </c>
      <c r="K6" s="11" t="s">
        <v>14</v>
      </c>
      <c r="N6" cm="1">
        <f t="array" ref="N6">_xlfn.IFS(K6="PASS",1,J6="PASS",0.75,I6="PASS",0.5,H6="PASS",0.25,H6="FAIL",0)</f>
        <v>1</v>
      </c>
    </row>
    <row r="7" spans="1:25" ht="22.5" customHeight="1" x14ac:dyDescent="0.25">
      <c r="A7" s="7" t="s">
        <v>19</v>
      </c>
      <c r="B7" s="7" t="s">
        <v>10</v>
      </c>
      <c r="C7" s="26" t="s">
        <v>75</v>
      </c>
      <c r="D7" s="7">
        <v>567</v>
      </c>
      <c r="E7" s="9" t="s">
        <v>20</v>
      </c>
      <c r="F7" s="10" t="s">
        <v>13</v>
      </c>
      <c r="G7" s="9" t="s">
        <v>79</v>
      </c>
      <c r="H7" s="11" t="s">
        <v>14</v>
      </c>
      <c r="I7" s="11" t="s">
        <v>14</v>
      </c>
      <c r="J7" s="11" t="s">
        <v>14</v>
      </c>
      <c r="K7" s="11" t="s">
        <v>14</v>
      </c>
      <c r="N7" cm="1">
        <f t="array" ref="N7">_xlfn.IFS(K7="PASS",1,J7="PASS",0.75,I7="PASS",0.5,H7="PASS",0.25,H7="FAIL",0)</f>
        <v>1</v>
      </c>
    </row>
    <row r="8" spans="1:25" ht="22.5" customHeight="1" x14ac:dyDescent="0.25">
      <c r="A8" s="7" t="s">
        <v>19</v>
      </c>
      <c r="B8" s="7" t="s">
        <v>10</v>
      </c>
      <c r="C8" s="26" t="s">
        <v>75</v>
      </c>
      <c r="D8" s="7">
        <v>567</v>
      </c>
      <c r="E8" s="9" t="s">
        <v>21</v>
      </c>
      <c r="F8" s="10" t="s">
        <v>13</v>
      </c>
      <c r="G8" s="9" t="s">
        <v>80</v>
      </c>
      <c r="H8" s="12" t="s">
        <v>17</v>
      </c>
      <c r="I8" s="12" t="s">
        <v>17</v>
      </c>
      <c r="J8" s="12" t="s">
        <v>17</v>
      </c>
      <c r="K8" s="12" t="s">
        <v>17</v>
      </c>
      <c r="N8" cm="1">
        <f t="array" ref="N8">_xlfn.IFS(K8="PASS",1,J8="PASS",0.75,I8="PASS",0.5,H8="PASS",0.25,H8="FAIL",0)</f>
        <v>0</v>
      </c>
    </row>
    <row r="9" spans="1:25" ht="22.5" customHeight="1" x14ac:dyDescent="0.25">
      <c r="A9" s="7" t="s">
        <v>19</v>
      </c>
      <c r="B9" s="7" t="s">
        <v>10</v>
      </c>
      <c r="C9" s="26" t="s">
        <v>75</v>
      </c>
      <c r="D9" s="7">
        <v>567</v>
      </c>
      <c r="E9" s="9" t="s">
        <v>22</v>
      </c>
      <c r="F9" s="10" t="s">
        <v>13</v>
      </c>
      <c r="G9" s="9" t="s">
        <v>81</v>
      </c>
      <c r="H9" s="11" t="s">
        <v>14</v>
      </c>
      <c r="I9" s="11" t="s">
        <v>14</v>
      </c>
      <c r="J9" s="11" t="s">
        <v>14</v>
      </c>
      <c r="K9" s="11" t="s">
        <v>14</v>
      </c>
      <c r="N9" cm="1">
        <f t="array" ref="N9">_xlfn.IFS(K9="PASS",1,J9="PASS",0.75,I9="PASS",0.5,H9="PASS",0.25,H9="FAIL",0)</f>
        <v>1</v>
      </c>
    </row>
    <row r="10" spans="1:25" ht="22.5" customHeight="1" x14ac:dyDescent="0.25">
      <c r="A10" s="7" t="s">
        <v>23</v>
      </c>
      <c r="B10" s="7" t="s">
        <v>10</v>
      </c>
      <c r="C10" s="26" t="s">
        <v>75</v>
      </c>
      <c r="D10" s="7">
        <v>780</v>
      </c>
      <c r="E10" s="9" t="s">
        <v>24</v>
      </c>
      <c r="F10" s="10" t="s">
        <v>13</v>
      </c>
      <c r="G10" s="9" t="s">
        <v>82</v>
      </c>
      <c r="H10" s="11" t="s">
        <v>14</v>
      </c>
      <c r="I10" s="11" t="s">
        <v>14</v>
      </c>
      <c r="J10" s="11" t="s">
        <v>14</v>
      </c>
      <c r="K10" s="11" t="s">
        <v>14</v>
      </c>
      <c r="N10" cm="1">
        <f t="array" ref="N10">_xlfn.IFS(K10="PASS",1,J10="PASS",0.75,I10="PASS",0.5,H10="PASS",0.25,H10="FAIL",0)</f>
        <v>1</v>
      </c>
    </row>
    <row r="11" spans="1:25" ht="22.5" customHeight="1" x14ac:dyDescent="0.25">
      <c r="A11" s="7" t="s">
        <v>23</v>
      </c>
      <c r="B11" s="7" t="s">
        <v>10</v>
      </c>
      <c r="C11" s="26" t="s">
        <v>75</v>
      </c>
      <c r="D11" s="7">
        <v>780</v>
      </c>
      <c r="E11" s="9" t="s">
        <v>25</v>
      </c>
      <c r="F11" s="10" t="s">
        <v>13</v>
      </c>
      <c r="G11" s="9" t="s">
        <v>83</v>
      </c>
      <c r="H11" s="11" t="s">
        <v>14</v>
      </c>
      <c r="I11" s="11" t="s">
        <v>14</v>
      </c>
      <c r="J11" s="11" t="s">
        <v>14</v>
      </c>
      <c r="K11" s="11" t="s">
        <v>14</v>
      </c>
      <c r="N11" cm="1">
        <f t="array" ref="N11">_xlfn.IFS(K11="PASS",1,J11="PASS",0.75,I11="PASS",0.5,H11="PASS",0.25,H11="FAIL",0)</f>
        <v>1</v>
      </c>
    </row>
    <row r="12" spans="1:25" ht="22.5" customHeight="1" x14ac:dyDescent="0.25">
      <c r="A12" s="13" t="s">
        <v>23</v>
      </c>
      <c r="B12" s="13" t="s">
        <v>10</v>
      </c>
      <c r="C12" s="27" t="s">
        <v>75</v>
      </c>
      <c r="D12" s="13">
        <v>780</v>
      </c>
      <c r="E12" s="15" t="s">
        <v>26</v>
      </c>
      <c r="F12" s="16" t="s">
        <v>13</v>
      </c>
      <c r="G12" s="15" t="s">
        <v>84</v>
      </c>
      <c r="H12" s="17" t="s">
        <v>14</v>
      </c>
      <c r="I12" s="17" t="s">
        <v>14</v>
      </c>
      <c r="J12" s="17" t="s">
        <v>14</v>
      </c>
      <c r="K12" s="17" t="s">
        <v>14</v>
      </c>
      <c r="L12" s="13"/>
      <c r="M12" s="13"/>
      <c r="N12" cm="1">
        <f t="array" ref="N12">_xlfn.IFS(K12="PASS",1,J12="PASS",0.75,I12="PASS",0.5,H12="PASS",0.25,H12="FAIL",0)</f>
        <v>1</v>
      </c>
      <c r="O12" s="13"/>
      <c r="P12" s="13"/>
      <c r="Q12" s="13"/>
      <c r="R12" s="13"/>
      <c r="S12" s="13"/>
      <c r="T12" s="13"/>
      <c r="U12" s="13"/>
      <c r="V12" s="13"/>
      <c r="W12" s="13"/>
      <c r="X12" s="13"/>
      <c r="Y12" s="13"/>
    </row>
    <row r="13" spans="1:25" ht="22.5" customHeight="1" x14ac:dyDescent="0.25">
      <c r="A13" s="7" t="s">
        <v>9</v>
      </c>
      <c r="B13" s="7" t="s">
        <v>10</v>
      </c>
      <c r="C13" s="26" t="s">
        <v>75</v>
      </c>
      <c r="D13" s="7">
        <v>436</v>
      </c>
      <c r="E13" s="9" t="s">
        <v>12</v>
      </c>
      <c r="F13" s="8" t="s">
        <v>27</v>
      </c>
      <c r="G13" s="9"/>
      <c r="H13" s="11" t="s">
        <v>14</v>
      </c>
      <c r="I13" s="11" t="s">
        <v>14</v>
      </c>
      <c r="J13" s="11" t="s">
        <v>14</v>
      </c>
      <c r="K13" s="11" t="s">
        <v>14</v>
      </c>
      <c r="N13" cm="1">
        <f t="array" ref="N13">_xlfn.IFS(K13="PASS",1,J13="PASS",0.75,I13="PASS",0.5,H13="PASS",0.25,H13="FAIL",0)</f>
        <v>1</v>
      </c>
    </row>
    <row r="14" spans="1:25" ht="22.5" customHeight="1" x14ac:dyDescent="0.25">
      <c r="A14" s="7" t="s">
        <v>15</v>
      </c>
      <c r="B14" s="7" t="s">
        <v>10</v>
      </c>
      <c r="C14" s="26" t="s">
        <v>75</v>
      </c>
      <c r="D14" s="7">
        <v>630</v>
      </c>
      <c r="E14" s="9" t="s">
        <v>16</v>
      </c>
      <c r="F14" s="8" t="s">
        <v>27</v>
      </c>
      <c r="G14" s="9"/>
      <c r="H14" s="11" t="s">
        <v>14</v>
      </c>
      <c r="I14" s="11" t="s">
        <v>14</v>
      </c>
      <c r="J14" s="11" t="s">
        <v>14</v>
      </c>
      <c r="K14" s="11" t="s">
        <v>14</v>
      </c>
      <c r="N14" cm="1">
        <f t="array" ref="N14">_xlfn.IFS(K14="PASS",1,J14="PASS",0.75,I14="PASS",0.5,H14="PASS",0.25,H14="FAIL",0)</f>
        <v>1</v>
      </c>
    </row>
    <row r="15" spans="1:25" ht="22.5" customHeight="1" x14ac:dyDescent="0.25">
      <c r="A15" s="7" t="s">
        <v>15</v>
      </c>
      <c r="B15" s="7" t="s">
        <v>10</v>
      </c>
      <c r="C15" s="26" t="s">
        <v>75</v>
      </c>
      <c r="D15" s="7">
        <v>630</v>
      </c>
      <c r="E15" s="9" t="s">
        <v>18</v>
      </c>
      <c r="F15" s="8" t="s">
        <v>27</v>
      </c>
      <c r="G15" s="9"/>
      <c r="H15" s="11" t="s">
        <v>14</v>
      </c>
      <c r="I15" s="11" t="s">
        <v>14</v>
      </c>
      <c r="J15" s="11" t="s">
        <v>14</v>
      </c>
      <c r="K15" s="11" t="s">
        <v>14</v>
      </c>
      <c r="N15" cm="1">
        <f t="array" ref="N15">_xlfn.IFS(K15="PASS",1,J15="PASS",0.75,I15="PASS",0.5,H15="PASS",0.25,H15="FAIL",0)</f>
        <v>1</v>
      </c>
    </row>
    <row r="16" spans="1:25" ht="22.5" customHeight="1" x14ac:dyDescent="0.25">
      <c r="A16" s="7" t="s">
        <v>19</v>
      </c>
      <c r="B16" s="7" t="s">
        <v>10</v>
      </c>
      <c r="C16" s="26" t="s">
        <v>75</v>
      </c>
      <c r="D16" s="7">
        <v>567</v>
      </c>
      <c r="E16" s="9" t="s">
        <v>20</v>
      </c>
      <c r="F16" s="8" t="s">
        <v>27</v>
      </c>
      <c r="G16" s="9"/>
      <c r="H16" s="11" t="s">
        <v>14</v>
      </c>
      <c r="I16" s="11" t="s">
        <v>14</v>
      </c>
      <c r="J16" s="11" t="s">
        <v>14</v>
      </c>
      <c r="K16" s="11" t="s">
        <v>14</v>
      </c>
      <c r="N16" cm="1">
        <f t="array" ref="N16">_xlfn.IFS(K16="PASS",1,J16="PASS",0.75,I16="PASS",0.5,H16="PASS",0.25,H16="FAIL",0)</f>
        <v>1</v>
      </c>
    </row>
    <row r="17" spans="1:25" ht="22.5" customHeight="1" x14ac:dyDescent="0.25">
      <c r="A17" s="7" t="s">
        <v>19</v>
      </c>
      <c r="B17" s="7" t="s">
        <v>10</v>
      </c>
      <c r="C17" s="26" t="s">
        <v>75</v>
      </c>
      <c r="D17" s="7">
        <v>567</v>
      </c>
      <c r="E17" s="9" t="s">
        <v>21</v>
      </c>
      <c r="F17" s="8" t="s">
        <v>27</v>
      </c>
      <c r="G17" s="9"/>
      <c r="H17" s="11" t="s">
        <v>14</v>
      </c>
      <c r="I17" s="11" t="s">
        <v>14</v>
      </c>
      <c r="J17" s="11" t="s">
        <v>14</v>
      </c>
      <c r="K17" s="11" t="s">
        <v>14</v>
      </c>
      <c r="N17" cm="1">
        <f t="array" ref="N17">_xlfn.IFS(K17="PASS",1,J17="PASS",0.75,I17="PASS",0.5,H17="PASS",0.25,H17="FAIL",0)</f>
        <v>1</v>
      </c>
    </row>
    <row r="18" spans="1:25" ht="22.5" customHeight="1" x14ac:dyDescent="0.25">
      <c r="A18" s="7" t="s">
        <v>19</v>
      </c>
      <c r="B18" s="7" t="s">
        <v>10</v>
      </c>
      <c r="C18" s="26" t="s">
        <v>75</v>
      </c>
      <c r="D18" s="7">
        <v>567</v>
      </c>
      <c r="E18" s="9" t="s">
        <v>22</v>
      </c>
      <c r="F18" s="8" t="s">
        <v>27</v>
      </c>
      <c r="G18" s="9"/>
      <c r="H18" s="11" t="s">
        <v>14</v>
      </c>
      <c r="I18" s="11" t="s">
        <v>14</v>
      </c>
      <c r="J18" s="11" t="s">
        <v>14</v>
      </c>
      <c r="K18" s="11" t="s">
        <v>14</v>
      </c>
      <c r="N18" cm="1">
        <f t="array" ref="N18">_xlfn.IFS(K18="PASS",1,J18="PASS",0.75,I18="PASS",0.5,H18="PASS",0.25,H18="FAIL",0)</f>
        <v>1</v>
      </c>
    </row>
    <row r="19" spans="1:25" ht="22.5" customHeight="1" x14ac:dyDescent="0.25">
      <c r="A19" s="7" t="s">
        <v>23</v>
      </c>
      <c r="B19" s="7" t="s">
        <v>10</v>
      </c>
      <c r="C19" s="26" t="s">
        <v>75</v>
      </c>
      <c r="D19" s="7">
        <v>780</v>
      </c>
      <c r="E19" s="9" t="s">
        <v>24</v>
      </c>
      <c r="F19" s="8" t="s">
        <v>27</v>
      </c>
      <c r="G19" s="9"/>
      <c r="H19" s="11" t="s">
        <v>14</v>
      </c>
      <c r="I19" s="11" t="s">
        <v>14</v>
      </c>
      <c r="J19" s="11" t="s">
        <v>14</v>
      </c>
      <c r="K19" s="11" t="s">
        <v>14</v>
      </c>
      <c r="N19" cm="1">
        <f t="array" ref="N19">_xlfn.IFS(K19="PASS",1,J19="PASS",0.75,I19="PASS",0.5,H19="PASS",0.25,H19="FAIL",0)</f>
        <v>1</v>
      </c>
    </row>
    <row r="20" spans="1:25" ht="22.5" customHeight="1" x14ac:dyDescent="0.25">
      <c r="A20" s="7" t="s">
        <v>23</v>
      </c>
      <c r="B20" s="7" t="s">
        <v>10</v>
      </c>
      <c r="C20" s="26" t="s">
        <v>75</v>
      </c>
      <c r="D20" s="7">
        <v>780</v>
      </c>
      <c r="E20" s="9" t="s">
        <v>25</v>
      </c>
      <c r="F20" s="8" t="s">
        <v>27</v>
      </c>
      <c r="G20" s="9"/>
      <c r="H20" s="12" t="s">
        <v>17</v>
      </c>
      <c r="I20" s="12" t="s">
        <v>17</v>
      </c>
      <c r="J20" s="12" t="s">
        <v>17</v>
      </c>
      <c r="K20" s="12" t="s">
        <v>17</v>
      </c>
      <c r="N20" cm="1">
        <f t="array" ref="N20">_xlfn.IFS(K20="PASS",1,J20="PASS",0.75,I20="PASS",0.5,H20="PASS",0.25,H20="FAIL",0)</f>
        <v>0</v>
      </c>
    </row>
    <row r="21" spans="1:25" ht="22.5" customHeight="1" x14ac:dyDescent="0.25">
      <c r="A21" s="13" t="s">
        <v>23</v>
      </c>
      <c r="B21" s="13" t="s">
        <v>10</v>
      </c>
      <c r="C21" s="27" t="s">
        <v>75</v>
      </c>
      <c r="D21" s="13">
        <v>780</v>
      </c>
      <c r="E21" s="15" t="s">
        <v>26</v>
      </c>
      <c r="F21" s="14" t="s">
        <v>27</v>
      </c>
      <c r="G21" s="15"/>
      <c r="H21" s="17" t="s">
        <v>14</v>
      </c>
      <c r="I21" s="17" t="s">
        <v>14</v>
      </c>
      <c r="J21" s="17" t="s">
        <v>14</v>
      </c>
      <c r="K21" s="17" t="s">
        <v>14</v>
      </c>
      <c r="L21" s="13"/>
      <c r="M21" s="13"/>
      <c r="N21" cm="1">
        <f t="array" ref="N21">_xlfn.IFS(K21="PASS",1,J21="PASS",0.75,I21="PASS",0.5,H21="PASS",0.25,H21="FAIL",0)</f>
        <v>1</v>
      </c>
      <c r="O21" s="13"/>
      <c r="P21" s="13"/>
      <c r="Q21" s="13"/>
      <c r="R21" s="13"/>
      <c r="S21" s="13"/>
      <c r="T21" s="13"/>
      <c r="U21" s="13"/>
      <c r="V21" s="13"/>
      <c r="W21" s="13"/>
      <c r="X21" s="13"/>
      <c r="Y21" s="13"/>
    </row>
    <row r="22" spans="1:25" ht="22.5" customHeight="1" x14ac:dyDescent="0.25">
      <c r="A22" s="7" t="s">
        <v>9</v>
      </c>
      <c r="B22" s="7" t="s">
        <v>10</v>
      </c>
      <c r="C22" s="26" t="s">
        <v>75</v>
      </c>
      <c r="D22" s="7">
        <v>436</v>
      </c>
      <c r="E22" s="9" t="s">
        <v>12</v>
      </c>
      <c r="F22" s="18" t="s">
        <v>28</v>
      </c>
      <c r="G22" s="9"/>
      <c r="H22" s="11" t="s">
        <v>14</v>
      </c>
      <c r="I22" s="11" t="s">
        <v>14</v>
      </c>
      <c r="J22" s="11" t="s">
        <v>14</v>
      </c>
      <c r="K22" s="11" t="s">
        <v>14</v>
      </c>
      <c r="N22" cm="1">
        <f t="array" ref="N22">_xlfn.IFS(K22="PASS",1,J22="PASS",0.75,I22="PASS",0.5,H22="PASS",0.25,H22="FAIL",0)</f>
        <v>1</v>
      </c>
    </row>
    <row r="23" spans="1:25" ht="22.5" customHeight="1" x14ac:dyDescent="0.25">
      <c r="A23" s="7" t="s">
        <v>15</v>
      </c>
      <c r="B23" s="7" t="s">
        <v>10</v>
      </c>
      <c r="C23" s="26" t="s">
        <v>75</v>
      </c>
      <c r="D23" s="7">
        <v>630</v>
      </c>
      <c r="E23" s="9" t="s">
        <v>16</v>
      </c>
      <c r="F23" s="18" t="s">
        <v>28</v>
      </c>
      <c r="G23" s="9"/>
      <c r="H23" s="11" t="s">
        <v>14</v>
      </c>
      <c r="I23" s="11" t="s">
        <v>14</v>
      </c>
      <c r="J23" s="11" t="s">
        <v>14</v>
      </c>
      <c r="K23" s="11" t="s">
        <v>14</v>
      </c>
      <c r="N23" cm="1">
        <f t="array" ref="N23">_xlfn.IFS(K23="PASS",1,J23="PASS",0.75,I23="PASS",0.5,H23="PASS",0.25,H23="FAIL",0)</f>
        <v>1</v>
      </c>
    </row>
    <row r="24" spans="1:25" ht="22.5" customHeight="1" x14ac:dyDescent="0.25">
      <c r="A24" s="7" t="s">
        <v>15</v>
      </c>
      <c r="B24" s="7" t="s">
        <v>10</v>
      </c>
      <c r="C24" s="26" t="s">
        <v>75</v>
      </c>
      <c r="D24" s="7">
        <v>630</v>
      </c>
      <c r="E24" s="9" t="s">
        <v>18</v>
      </c>
      <c r="F24" s="18" t="s">
        <v>28</v>
      </c>
      <c r="G24" s="9"/>
      <c r="H24" s="11" t="s">
        <v>14</v>
      </c>
      <c r="I24" s="11" t="s">
        <v>14</v>
      </c>
      <c r="J24" s="11" t="s">
        <v>14</v>
      </c>
      <c r="K24" s="11" t="s">
        <v>14</v>
      </c>
      <c r="N24" cm="1">
        <f t="array" ref="N24">_xlfn.IFS(K24="PASS",1,J24="PASS",0.75,I24="PASS",0.5,H24="PASS",0.25,H24="FAIL",0)</f>
        <v>1</v>
      </c>
    </row>
    <row r="25" spans="1:25" ht="22.5" customHeight="1" x14ac:dyDescent="0.25">
      <c r="A25" s="7" t="s">
        <v>19</v>
      </c>
      <c r="B25" s="7" t="s">
        <v>10</v>
      </c>
      <c r="C25" s="26" t="s">
        <v>75</v>
      </c>
      <c r="D25" s="7">
        <v>567</v>
      </c>
      <c r="E25" s="9" t="s">
        <v>20</v>
      </c>
      <c r="F25" s="18" t="s">
        <v>28</v>
      </c>
      <c r="G25" s="9"/>
      <c r="H25" s="11" t="s">
        <v>14</v>
      </c>
      <c r="I25" s="11" t="s">
        <v>14</v>
      </c>
      <c r="J25" s="11" t="s">
        <v>14</v>
      </c>
      <c r="K25" s="12" t="s">
        <v>17</v>
      </c>
      <c r="N25" cm="1">
        <f t="array" ref="N25">_xlfn.IFS(K25="PASS",1,J25="PASS",0.75,I25="PASS",0.5,H25="PASS",0.25,H25="FAIL",0)</f>
        <v>0.75</v>
      </c>
    </row>
    <row r="26" spans="1:25" ht="22.5" customHeight="1" x14ac:dyDescent="0.25">
      <c r="A26" s="7" t="s">
        <v>19</v>
      </c>
      <c r="B26" s="7" t="s">
        <v>10</v>
      </c>
      <c r="C26" s="26" t="s">
        <v>75</v>
      </c>
      <c r="D26" s="7">
        <v>567</v>
      </c>
      <c r="E26" s="9" t="s">
        <v>21</v>
      </c>
      <c r="F26" s="18" t="s">
        <v>28</v>
      </c>
      <c r="G26" s="9"/>
      <c r="H26" s="12" t="s">
        <v>17</v>
      </c>
      <c r="I26" s="12" t="s">
        <v>17</v>
      </c>
      <c r="J26" s="12" t="s">
        <v>17</v>
      </c>
      <c r="K26" s="12" t="s">
        <v>17</v>
      </c>
      <c r="N26" cm="1">
        <f t="array" ref="N26">_xlfn.IFS(K26="PASS",1,J26="PASS",0.75,I26="PASS",0.5,H26="PASS",0.25,H26="FAIL",0)</f>
        <v>0</v>
      </c>
    </row>
    <row r="27" spans="1:25" ht="22.5" customHeight="1" x14ac:dyDescent="0.25">
      <c r="A27" s="7" t="s">
        <v>19</v>
      </c>
      <c r="B27" s="7" t="s">
        <v>10</v>
      </c>
      <c r="C27" s="26" t="s">
        <v>75</v>
      </c>
      <c r="D27" s="7">
        <v>567</v>
      </c>
      <c r="E27" s="9" t="s">
        <v>22</v>
      </c>
      <c r="F27" s="18" t="s">
        <v>28</v>
      </c>
      <c r="G27" s="9"/>
      <c r="H27" s="11" t="s">
        <v>14</v>
      </c>
      <c r="I27" s="11" t="s">
        <v>14</v>
      </c>
      <c r="J27" s="11" t="s">
        <v>14</v>
      </c>
      <c r="K27" s="11" t="s">
        <v>14</v>
      </c>
      <c r="N27" cm="1">
        <f t="array" ref="N27">_xlfn.IFS(K27="PASS",1,J27="PASS",0.75,I27="PASS",0.5,H27="PASS",0.25,H27="FAIL",0)</f>
        <v>1</v>
      </c>
    </row>
    <row r="28" spans="1:25" ht="22.5" customHeight="1" x14ac:dyDescent="0.25">
      <c r="A28" s="7" t="s">
        <v>23</v>
      </c>
      <c r="B28" s="7" t="s">
        <v>10</v>
      </c>
      <c r="C28" s="26" t="s">
        <v>75</v>
      </c>
      <c r="D28" s="7">
        <v>780</v>
      </c>
      <c r="E28" s="9" t="s">
        <v>24</v>
      </c>
      <c r="F28" s="18" t="s">
        <v>28</v>
      </c>
      <c r="G28" s="9"/>
      <c r="H28" s="11" t="s">
        <v>14</v>
      </c>
      <c r="I28" s="11" t="s">
        <v>14</v>
      </c>
      <c r="J28" s="11" t="s">
        <v>14</v>
      </c>
      <c r="K28" s="11" t="s">
        <v>14</v>
      </c>
      <c r="N28" cm="1">
        <f t="array" ref="N28">_xlfn.IFS(K28="PASS",1,J28="PASS",0.75,I28="PASS",0.5,H28="PASS",0.25,H28="FAIL",0)</f>
        <v>1</v>
      </c>
    </row>
    <row r="29" spans="1:25" ht="22.5" customHeight="1" x14ac:dyDescent="0.25">
      <c r="A29" s="7" t="s">
        <v>23</v>
      </c>
      <c r="B29" s="7" t="s">
        <v>10</v>
      </c>
      <c r="C29" s="26" t="s">
        <v>75</v>
      </c>
      <c r="D29" s="7">
        <v>780</v>
      </c>
      <c r="E29" s="9" t="s">
        <v>25</v>
      </c>
      <c r="F29" s="18" t="s">
        <v>28</v>
      </c>
      <c r="G29" s="9"/>
      <c r="H29" s="11" t="s">
        <v>14</v>
      </c>
      <c r="I29" s="11" t="s">
        <v>14</v>
      </c>
      <c r="J29" s="11" t="s">
        <v>14</v>
      </c>
      <c r="K29" s="11" t="s">
        <v>14</v>
      </c>
      <c r="N29" cm="1">
        <f t="array" ref="N29">_xlfn.IFS(K29="PASS",1,J29="PASS",0.75,I29="PASS",0.5,H29="PASS",0.25,H29="FAIL",0)</f>
        <v>1</v>
      </c>
    </row>
    <row r="30" spans="1:25" ht="22.5" customHeight="1" x14ac:dyDescent="0.25">
      <c r="A30" s="13" t="s">
        <v>23</v>
      </c>
      <c r="B30" s="13" t="s">
        <v>10</v>
      </c>
      <c r="C30" s="27" t="s">
        <v>75</v>
      </c>
      <c r="D30" s="13">
        <v>780</v>
      </c>
      <c r="E30" s="15" t="s">
        <v>26</v>
      </c>
      <c r="F30" s="19" t="s">
        <v>28</v>
      </c>
      <c r="G30" s="15"/>
      <c r="H30" s="17" t="s">
        <v>14</v>
      </c>
      <c r="I30" s="17" t="s">
        <v>14</v>
      </c>
      <c r="J30" s="17" t="s">
        <v>14</v>
      </c>
      <c r="K30" s="17" t="s">
        <v>14</v>
      </c>
      <c r="L30" s="13"/>
      <c r="M30" s="13"/>
      <c r="N30" cm="1">
        <f t="array" ref="N30">_xlfn.IFS(K30="PASS",1,J30="PASS",0.75,I30="PASS",0.5,H30="PASS",0.25,H30="FAIL",0)</f>
        <v>1</v>
      </c>
      <c r="O30" s="13"/>
      <c r="P30" s="13"/>
      <c r="Q30" s="13"/>
      <c r="R30" s="13"/>
      <c r="S30" s="13"/>
      <c r="T30" s="13"/>
      <c r="U30" s="13"/>
      <c r="V30" s="13"/>
      <c r="W30" s="13"/>
      <c r="X30" s="13"/>
      <c r="Y30" s="13"/>
    </row>
    <row r="31" spans="1:25" ht="22.5" customHeight="1" x14ac:dyDescent="0.25">
      <c r="A31" s="7" t="s">
        <v>9</v>
      </c>
      <c r="B31" s="7" t="s">
        <v>10</v>
      </c>
      <c r="C31" s="26" t="s">
        <v>75</v>
      </c>
      <c r="D31" s="7">
        <v>436</v>
      </c>
      <c r="E31" s="9" t="s">
        <v>12</v>
      </c>
      <c r="F31" s="20" t="s">
        <v>29</v>
      </c>
      <c r="G31" s="9"/>
      <c r="H31" s="11" t="s">
        <v>14</v>
      </c>
      <c r="I31" s="11" t="s">
        <v>14</v>
      </c>
      <c r="J31" s="11" t="s">
        <v>14</v>
      </c>
      <c r="K31" s="11" t="s">
        <v>14</v>
      </c>
      <c r="N31" cm="1">
        <f t="array" ref="N31">_xlfn.IFS(K31="PASS",1,J31="PASS",0.75,I31="PASS",0.5,H31="PASS",0.25,H31="FAIL",0)</f>
        <v>1</v>
      </c>
    </row>
    <row r="32" spans="1:25" ht="22.5" customHeight="1" x14ac:dyDescent="0.25">
      <c r="A32" s="7" t="s">
        <v>15</v>
      </c>
      <c r="B32" s="7" t="s">
        <v>10</v>
      </c>
      <c r="C32" s="26" t="s">
        <v>75</v>
      </c>
      <c r="D32" s="7">
        <v>630</v>
      </c>
      <c r="E32" s="9" t="s">
        <v>16</v>
      </c>
      <c r="F32" s="20" t="s">
        <v>29</v>
      </c>
      <c r="G32" s="9"/>
      <c r="H32" s="11" t="s">
        <v>14</v>
      </c>
      <c r="I32" s="11" t="s">
        <v>14</v>
      </c>
      <c r="J32" s="11" t="s">
        <v>14</v>
      </c>
      <c r="K32" s="11" t="s">
        <v>14</v>
      </c>
      <c r="N32" cm="1">
        <f t="array" ref="N32">_xlfn.IFS(K32="PASS",1,J32="PASS",0.75,I32="PASS",0.5,H32="PASS",0.25,H32="FAIL",0)</f>
        <v>1</v>
      </c>
    </row>
    <row r="33" spans="1:25" ht="22.5" customHeight="1" x14ac:dyDescent="0.25">
      <c r="A33" s="7" t="s">
        <v>15</v>
      </c>
      <c r="B33" s="7" t="s">
        <v>10</v>
      </c>
      <c r="C33" s="26" t="s">
        <v>75</v>
      </c>
      <c r="D33" s="7">
        <v>630</v>
      </c>
      <c r="E33" s="9" t="s">
        <v>18</v>
      </c>
      <c r="F33" s="20" t="s">
        <v>29</v>
      </c>
      <c r="G33" s="9"/>
      <c r="H33" s="11" t="s">
        <v>14</v>
      </c>
      <c r="I33" s="11" t="s">
        <v>14</v>
      </c>
      <c r="J33" s="11" t="s">
        <v>14</v>
      </c>
      <c r="K33" s="11" t="s">
        <v>14</v>
      </c>
      <c r="N33" cm="1">
        <f t="array" ref="N33">_xlfn.IFS(K33="PASS",1,J33="PASS",0.75,I33="PASS",0.5,H33="PASS",0.25,H33="FAIL",0)</f>
        <v>1</v>
      </c>
    </row>
    <row r="34" spans="1:25" ht="22.5" customHeight="1" x14ac:dyDescent="0.25">
      <c r="A34" s="7" t="s">
        <v>19</v>
      </c>
      <c r="B34" s="7" t="s">
        <v>10</v>
      </c>
      <c r="C34" s="26" t="s">
        <v>75</v>
      </c>
      <c r="D34" s="7">
        <v>567</v>
      </c>
      <c r="E34" s="9" t="s">
        <v>20</v>
      </c>
      <c r="F34" s="20" t="s">
        <v>29</v>
      </c>
      <c r="G34" s="9"/>
      <c r="H34" s="11" t="s">
        <v>14</v>
      </c>
      <c r="I34" s="11" t="s">
        <v>14</v>
      </c>
      <c r="J34" s="11" t="s">
        <v>14</v>
      </c>
      <c r="K34" s="11" t="s">
        <v>14</v>
      </c>
      <c r="N34" cm="1">
        <f t="array" ref="N34">_xlfn.IFS(K34="PASS",1,J34="PASS",0.75,I34="PASS",0.5,H34="PASS",0.25,H34="FAIL",0)</f>
        <v>1</v>
      </c>
    </row>
    <row r="35" spans="1:25" ht="22.5" customHeight="1" x14ac:dyDescent="0.25">
      <c r="A35" s="7" t="s">
        <v>19</v>
      </c>
      <c r="B35" s="7" t="s">
        <v>10</v>
      </c>
      <c r="C35" s="26" t="s">
        <v>75</v>
      </c>
      <c r="D35" s="7">
        <v>567</v>
      </c>
      <c r="E35" s="9" t="s">
        <v>21</v>
      </c>
      <c r="F35" s="20" t="s">
        <v>29</v>
      </c>
      <c r="G35" s="9"/>
      <c r="H35" s="11" t="s">
        <v>14</v>
      </c>
      <c r="I35" s="11" t="s">
        <v>14</v>
      </c>
      <c r="J35" s="11" t="s">
        <v>14</v>
      </c>
      <c r="K35" s="11" t="s">
        <v>14</v>
      </c>
      <c r="N35" cm="1">
        <f t="array" ref="N35">_xlfn.IFS(K35="PASS",1,J35="PASS",0.75,I35="PASS",0.5,H35="PASS",0.25,H35="FAIL",0)</f>
        <v>1</v>
      </c>
    </row>
    <row r="36" spans="1:25" ht="22.5" customHeight="1" x14ac:dyDescent="0.25">
      <c r="A36" s="7" t="s">
        <v>19</v>
      </c>
      <c r="B36" s="7" t="s">
        <v>10</v>
      </c>
      <c r="C36" s="26" t="s">
        <v>75</v>
      </c>
      <c r="D36" s="7">
        <v>567</v>
      </c>
      <c r="E36" s="9" t="s">
        <v>22</v>
      </c>
      <c r="F36" s="20" t="s">
        <v>29</v>
      </c>
      <c r="G36" s="9"/>
      <c r="H36" s="11" t="s">
        <v>14</v>
      </c>
      <c r="I36" s="11" t="s">
        <v>14</v>
      </c>
      <c r="J36" s="11" t="s">
        <v>14</v>
      </c>
      <c r="K36" s="11" t="s">
        <v>14</v>
      </c>
      <c r="N36" cm="1">
        <f t="array" ref="N36">_xlfn.IFS(K36="PASS",1,J36="PASS",0.75,I36="PASS",0.5,H36="PASS",0.25,H36="FAIL",0)</f>
        <v>1</v>
      </c>
    </row>
    <row r="37" spans="1:25" ht="22.5" customHeight="1" x14ac:dyDescent="0.25">
      <c r="A37" s="7" t="s">
        <v>23</v>
      </c>
      <c r="B37" s="7" t="s">
        <v>10</v>
      </c>
      <c r="C37" s="26" t="s">
        <v>75</v>
      </c>
      <c r="D37" s="7">
        <v>780</v>
      </c>
      <c r="E37" s="9" t="s">
        <v>24</v>
      </c>
      <c r="F37" s="20" t="s">
        <v>29</v>
      </c>
      <c r="G37" s="9"/>
      <c r="H37" s="11" t="s">
        <v>14</v>
      </c>
      <c r="I37" s="11" t="s">
        <v>14</v>
      </c>
      <c r="J37" s="11" t="s">
        <v>14</v>
      </c>
      <c r="K37" s="11" t="s">
        <v>14</v>
      </c>
      <c r="N37" cm="1">
        <f t="array" ref="N37">_xlfn.IFS(K37="PASS",1,J37="PASS",0.75,I37="PASS",0.5,H37="PASS",0.25,H37="FAIL",0)</f>
        <v>1</v>
      </c>
    </row>
    <row r="38" spans="1:25" ht="22.5" customHeight="1" x14ac:dyDescent="0.25">
      <c r="A38" s="7" t="s">
        <v>23</v>
      </c>
      <c r="B38" s="7" t="s">
        <v>10</v>
      </c>
      <c r="C38" s="26" t="s">
        <v>75</v>
      </c>
      <c r="D38" s="7">
        <v>780</v>
      </c>
      <c r="E38" s="9" t="s">
        <v>25</v>
      </c>
      <c r="F38" s="20" t="s">
        <v>29</v>
      </c>
      <c r="G38" s="9"/>
      <c r="H38" s="11" t="s">
        <v>14</v>
      </c>
      <c r="I38" s="11" t="s">
        <v>14</v>
      </c>
      <c r="J38" s="11" t="s">
        <v>14</v>
      </c>
      <c r="K38" s="11" t="s">
        <v>14</v>
      </c>
      <c r="N38" cm="1">
        <f t="array" ref="N38">_xlfn.IFS(K38="PASS",1,J38="PASS",0.75,I38="PASS",0.5,H38="PASS",0.25,H38="FAIL",0)</f>
        <v>1</v>
      </c>
    </row>
    <row r="39" spans="1:25" ht="22.5" customHeight="1" x14ac:dyDescent="0.25">
      <c r="A39" s="13" t="s">
        <v>23</v>
      </c>
      <c r="B39" s="13" t="s">
        <v>10</v>
      </c>
      <c r="C39" s="27" t="s">
        <v>75</v>
      </c>
      <c r="D39" s="13">
        <v>780</v>
      </c>
      <c r="E39" s="15" t="s">
        <v>26</v>
      </c>
      <c r="F39" s="20" t="s">
        <v>29</v>
      </c>
      <c r="G39" s="15"/>
      <c r="H39" s="17" t="s">
        <v>14</v>
      </c>
      <c r="I39" s="17" t="s">
        <v>14</v>
      </c>
      <c r="J39" s="17" t="s">
        <v>14</v>
      </c>
      <c r="K39" s="17" t="s">
        <v>14</v>
      </c>
      <c r="L39" s="13"/>
      <c r="M39" s="13"/>
      <c r="N39" cm="1">
        <f t="array" ref="N39">_xlfn.IFS(K39="PASS",1,J39="PASS",0.75,I39="PASS",0.5,H39="PASS",0.25,H39="FAIL",0)</f>
        <v>1</v>
      </c>
      <c r="O39" s="13"/>
      <c r="P39" s="13"/>
      <c r="Q39" s="13"/>
      <c r="R39" s="13"/>
      <c r="S39" s="13"/>
      <c r="T39" s="13"/>
      <c r="U39" s="13"/>
      <c r="V39" s="13"/>
      <c r="W39" s="13"/>
      <c r="X39" s="13"/>
      <c r="Y39" s="13"/>
    </row>
    <row r="40" spans="1:25" ht="12.5" x14ac:dyDescent="0.25">
      <c r="E40" s="9"/>
      <c r="G40" s="9"/>
      <c r="H40" s="21">
        <f t="shared" ref="H40:K40" si="0">(COUNTIF(H4:H39,"PASS") / (COUNTIF(H4:H39,"PASS") + COUNTIF(H4:H39,"FAIL"))) * 100</f>
        <v>91.666666666666657</v>
      </c>
      <c r="I40" s="21">
        <f t="shared" si="0"/>
        <v>91.666666666666657</v>
      </c>
      <c r="J40" s="21">
        <f t="shared" si="0"/>
        <v>91.666666666666657</v>
      </c>
      <c r="K40" s="21">
        <f t="shared" si="0"/>
        <v>88.888888888888886</v>
      </c>
      <c r="N40" t="e" cm="1">
        <f t="array" ref="N40">_xlfn.IFS(K40="PASS",1,J40="PASS",0.75,I40="PASS",0.5,H40="PASS",0.25,H40="FAIL",0)</f>
        <v>#N/A</v>
      </c>
    </row>
    <row r="41" spans="1:25" ht="12.5" x14ac:dyDescent="0.25">
      <c r="E41" s="9"/>
      <c r="G41" s="9"/>
      <c r="H41" s="22"/>
      <c r="I41" s="22"/>
      <c r="J41" s="22"/>
      <c r="K41" s="22"/>
    </row>
    <row r="42" spans="1:25" ht="12.5" x14ac:dyDescent="0.25">
      <c r="E42" s="9"/>
      <c r="G42" s="9"/>
    </row>
    <row r="43" spans="1:25" ht="12.5" x14ac:dyDescent="0.25">
      <c r="E43" s="9"/>
      <c r="G43" s="9"/>
    </row>
    <row r="44" spans="1:25" ht="12.5" x14ac:dyDescent="0.25">
      <c r="E44" s="9"/>
      <c r="G44" s="9"/>
    </row>
    <row r="45" spans="1:25" ht="12.5" x14ac:dyDescent="0.25">
      <c r="E45" s="9"/>
      <c r="G45" s="9"/>
    </row>
    <row r="46" spans="1:25" ht="12.5" x14ac:dyDescent="0.25">
      <c r="E46" s="9"/>
      <c r="G46" s="9"/>
    </row>
    <row r="47" spans="1:25" ht="12.5" x14ac:dyDescent="0.25">
      <c r="E47" s="9"/>
      <c r="G47" s="9"/>
    </row>
    <row r="48" spans="1:25" ht="12.5" x14ac:dyDescent="0.25">
      <c r="E48" s="9"/>
      <c r="G48" s="9"/>
    </row>
    <row r="49" spans="5:7" ht="12.5" x14ac:dyDescent="0.25">
      <c r="E49" s="9"/>
      <c r="G49" s="9"/>
    </row>
    <row r="50" spans="5:7" ht="12.5" x14ac:dyDescent="0.25">
      <c r="E50" s="9"/>
      <c r="G50" s="9"/>
    </row>
    <row r="51" spans="5:7" ht="12.5" x14ac:dyDescent="0.25">
      <c r="E51" s="9"/>
      <c r="G51" s="9"/>
    </row>
    <row r="52" spans="5:7" ht="12.5" x14ac:dyDescent="0.25">
      <c r="E52" s="9"/>
      <c r="G52" s="9"/>
    </row>
    <row r="53" spans="5:7" ht="12.5" x14ac:dyDescent="0.25">
      <c r="E53" s="9"/>
      <c r="G53" s="9"/>
    </row>
    <row r="54" spans="5:7" ht="12.5" x14ac:dyDescent="0.25">
      <c r="E54" s="9"/>
      <c r="G54" s="9"/>
    </row>
    <row r="55" spans="5:7" ht="12.5" x14ac:dyDescent="0.25">
      <c r="E55" s="9"/>
      <c r="G55" s="9"/>
    </row>
    <row r="56" spans="5:7" ht="12.5" x14ac:dyDescent="0.25">
      <c r="E56" s="9"/>
      <c r="G56" s="9"/>
    </row>
    <row r="57" spans="5:7" ht="12.5" x14ac:dyDescent="0.25">
      <c r="E57" s="9"/>
      <c r="G57" s="9"/>
    </row>
    <row r="58" spans="5:7" ht="12.5" x14ac:dyDescent="0.25">
      <c r="E58" s="9"/>
      <c r="G58" s="9"/>
    </row>
    <row r="59" spans="5:7" ht="12.5" x14ac:dyDescent="0.25">
      <c r="E59" s="9"/>
      <c r="G59" s="9"/>
    </row>
    <row r="60" spans="5:7" ht="12.5" x14ac:dyDescent="0.25">
      <c r="E60" s="9"/>
      <c r="G60" s="9"/>
    </row>
    <row r="61" spans="5:7" ht="12.5" x14ac:dyDescent="0.25">
      <c r="E61" s="9"/>
      <c r="G61" s="9"/>
    </row>
    <row r="62" spans="5:7" ht="12.5" x14ac:dyDescent="0.25">
      <c r="E62" s="9"/>
      <c r="G62" s="9"/>
    </row>
    <row r="63" spans="5:7" ht="12.5" x14ac:dyDescent="0.25">
      <c r="E63" s="9"/>
      <c r="G63" s="9"/>
    </row>
    <row r="64" spans="5:7" ht="12.5" x14ac:dyDescent="0.25">
      <c r="E64" s="9"/>
      <c r="G64" s="9"/>
    </row>
    <row r="65" spans="5:7" ht="12.5" x14ac:dyDescent="0.25">
      <c r="E65" s="9"/>
      <c r="G65" s="9"/>
    </row>
    <row r="66" spans="5:7" ht="12.5" x14ac:dyDescent="0.25">
      <c r="E66" s="9"/>
      <c r="G66" s="9"/>
    </row>
    <row r="67" spans="5:7" ht="12.5" x14ac:dyDescent="0.25">
      <c r="E67" s="9"/>
      <c r="G67" s="9"/>
    </row>
    <row r="68" spans="5:7" ht="12.5" x14ac:dyDescent="0.25">
      <c r="E68" s="9"/>
      <c r="G68" s="9"/>
    </row>
    <row r="69" spans="5:7" ht="12.5" x14ac:dyDescent="0.25">
      <c r="E69" s="9"/>
      <c r="G69" s="9"/>
    </row>
    <row r="70" spans="5:7" ht="12.5" x14ac:dyDescent="0.25">
      <c r="E70" s="9"/>
      <c r="G70" s="9"/>
    </row>
    <row r="71" spans="5:7" ht="12.5" x14ac:dyDescent="0.25">
      <c r="E71" s="9"/>
      <c r="G71" s="9"/>
    </row>
    <row r="72" spans="5:7" ht="12.5" x14ac:dyDescent="0.25">
      <c r="E72" s="9"/>
      <c r="G72" s="9"/>
    </row>
    <row r="73" spans="5:7" ht="12.5" x14ac:dyDescent="0.25">
      <c r="E73" s="9"/>
      <c r="G73" s="9"/>
    </row>
    <row r="74" spans="5:7" ht="12.5" x14ac:dyDescent="0.25">
      <c r="E74" s="9"/>
      <c r="G74" s="9"/>
    </row>
    <row r="75" spans="5:7" ht="12.5" x14ac:dyDescent="0.25">
      <c r="E75" s="9"/>
      <c r="G75" s="9"/>
    </row>
    <row r="76" spans="5:7" ht="12.5" x14ac:dyDescent="0.25">
      <c r="E76" s="9"/>
      <c r="G76" s="9"/>
    </row>
    <row r="77" spans="5:7" ht="12.5" x14ac:dyDescent="0.25">
      <c r="E77" s="9"/>
      <c r="G77" s="9"/>
    </row>
    <row r="78" spans="5:7" ht="12.5" x14ac:dyDescent="0.25">
      <c r="E78" s="9"/>
      <c r="G78" s="9"/>
    </row>
    <row r="79" spans="5:7" ht="12.5" x14ac:dyDescent="0.25">
      <c r="E79" s="9"/>
      <c r="G79" s="9"/>
    </row>
    <row r="80" spans="5:7" ht="12.5" x14ac:dyDescent="0.25">
      <c r="E80" s="9"/>
      <c r="G80" s="9"/>
    </row>
    <row r="81" spans="5:7" ht="12.5" x14ac:dyDescent="0.25">
      <c r="E81" s="9"/>
      <c r="G81" s="9"/>
    </row>
    <row r="82" spans="5:7" ht="12.5" x14ac:dyDescent="0.25">
      <c r="E82" s="9"/>
      <c r="G82" s="9"/>
    </row>
    <row r="83" spans="5:7" ht="12.5" x14ac:dyDescent="0.25">
      <c r="E83" s="9"/>
      <c r="G83" s="9"/>
    </row>
    <row r="84" spans="5:7" ht="12.5" x14ac:dyDescent="0.25">
      <c r="E84" s="9"/>
      <c r="G84" s="9"/>
    </row>
    <row r="85" spans="5:7" ht="12.5" x14ac:dyDescent="0.25">
      <c r="E85" s="9"/>
      <c r="G85" s="9"/>
    </row>
    <row r="86" spans="5:7" ht="12.5" x14ac:dyDescent="0.25">
      <c r="E86" s="9"/>
      <c r="G86" s="9"/>
    </row>
    <row r="87" spans="5:7" ht="12.5" x14ac:dyDescent="0.25">
      <c r="E87" s="9"/>
      <c r="G87" s="9"/>
    </row>
    <row r="88" spans="5:7" ht="12.5" x14ac:dyDescent="0.25">
      <c r="E88" s="9"/>
      <c r="G88" s="9"/>
    </row>
    <row r="89" spans="5:7" ht="12.5" x14ac:dyDescent="0.25">
      <c r="E89" s="9"/>
      <c r="G89" s="9"/>
    </row>
    <row r="90" spans="5:7" ht="12.5" x14ac:dyDescent="0.25">
      <c r="E90" s="9"/>
      <c r="G90" s="9"/>
    </row>
    <row r="91" spans="5:7" ht="12.5" x14ac:dyDescent="0.25">
      <c r="E91" s="9"/>
      <c r="G91" s="9"/>
    </row>
    <row r="92" spans="5:7" ht="12.5" x14ac:dyDescent="0.25">
      <c r="E92" s="9"/>
      <c r="G92" s="9"/>
    </row>
    <row r="93" spans="5:7" ht="12.5" x14ac:dyDescent="0.25">
      <c r="E93" s="9"/>
      <c r="G93" s="9"/>
    </row>
    <row r="94" spans="5:7" ht="12.5" x14ac:dyDescent="0.25">
      <c r="E94" s="9"/>
      <c r="G94" s="9"/>
    </row>
    <row r="95" spans="5:7" ht="12.5" x14ac:dyDescent="0.25">
      <c r="E95" s="9"/>
      <c r="G95" s="9"/>
    </row>
    <row r="96" spans="5:7" ht="12.5" x14ac:dyDescent="0.25">
      <c r="E96" s="9"/>
      <c r="G96" s="9"/>
    </row>
    <row r="97" spans="5:7" ht="12.5" x14ac:dyDescent="0.25">
      <c r="E97" s="9"/>
      <c r="G97" s="9"/>
    </row>
    <row r="98" spans="5:7" ht="12.5" x14ac:dyDescent="0.25">
      <c r="E98" s="9"/>
      <c r="G98" s="9"/>
    </row>
    <row r="99" spans="5:7" ht="12.5" x14ac:dyDescent="0.25">
      <c r="E99" s="9"/>
      <c r="G99" s="9"/>
    </row>
    <row r="100" spans="5:7" ht="12.5" x14ac:dyDescent="0.25">
      <c r="E100" s="9"/>
      <c r="G100" s="9"/>
    </row>
    <row r="101" spans="5:7" ht="12.5" x14ac:dyDescent="0.25">
      <c r="E101" s="9"/>
      <c r="G101" s="9"/>
    </row>
    <row r="102" spans="5:7" ht="12.5" x14ac:dyDescent="0.25">
      <c r="E102" s="9"/>
      <c r="G102" s="9"/>
    </row>
    <row r="103" spans="5:7" ht="12.5" x14ac:dyDescent="0.25">
      <c r="E103" s="9"/>
      <c r="G103" s="9"/>
    </row>
    <row r="104" spans="5:7" ht="12.5" x14ac:dyDescent="0.25">
      <c r="E104" s="9"/>
      <c r="G104" s="9"/>
    </row>
    <row r="105" spans="5:7" ht="12.5" x14ac:dyDescent="0.25">
      <c r="E105" s="9"/>
      <c r="G105" s="9"/>
    </row>
    <row r="106" spans="5:7" ht="12.5" x14ac:dyDescent="0.25">
      <c r="E106" s="9"/>
      <c r="G106" s="9"/>
    </row>
    <row r="107" spans="5:7" ht="12.5" x14ac:dyDescent="0.25">
      <c r="E107" s="9"/>
      <c r="G107" s="9"/>
    </row>
    <row r="108" spans="5:7" ht="12.5" x14ac:dyDescent="0.25">
      <c r="E108" s="9"/>
      <c r="G108" s="9"/>
    </row>
    <row r="109" spans="5:7" ht="12.5" x14ac:dyDescent="0.25">
      <c r="E109" s="9"/>
      <c r="G109" s="9"/>
    </row>
    <row r="110" spans="5:7" ht="12.5" x14ac:dyDescent="0.25">
      <c r="E110" s="9"/>
      <c r="G110" s="9"/>
    </row>
    <row r="111" spans="5:7" ht="12.5" x14ac:dyDescent="0.25">
      <c r="E111" s="9"/>
      <c r="G111" s="9"/>
    </row>
    <row r="112" spans="5:7" ht="12.5" x14ac:dyDescent="0.25">
      <c r="E112" s="9"/>
      <c r="G112" s="9"/>
    </row>
    <row r="113" spans="5:7" ht="12.5" x14ac:dyDescent="0.25">
      <c r="E113" s="9"/>
      <c r="G113" s="9"/>
    </row>
    <row r="114" spans="5:7" ht="12.5" x14ac:dyDescent="0.25">
      <c r="E114" s="9"/>
      <c r="G114" s="9"/>
    </row>
    <row r="115" spans="5:7" ht="12.5" x14ac:dyDescent="0.25">
      <c r="E115" s="9"/>
      <c r="G115" s="9"/>
    </row>
    <row r="116" spans="5:7" ht="12.5" x14ac:dyDescent="0.25">
      <c r="E116" s="9"/>
      <c r="G116" s="9"/>
    </row>
    <row r="117" spans="5:7" ht="12.5" x14ac:dyDescent="0.25">
      <c r="E117" s="9"/>
      <c r="G117" s="9"/>
    </row>
    <row r="118" spans="5:7" ht="12.5" x14ac:dyDescent="0.25">
      <c r="E118" s="9"/>
      <c r="G118" s="9"/>
    </row>
    <row r="119" spans="5:7" ht="12.5" x14ac:dyDescent="0.25">
      <c r="E119" s="9"/>
      <c r="G119" s="9"/>
    </row>
    <row r="120" spans="5:7" ht="12.5" x14ac:dyDescent="0.25">
      <c r="E120" s="9"/>
      <c r="G120" s="9"/>
    </row>
    <row r="121" spans="5:7" ht="12.5" x14ac:dyDescent="0.25">
      <c r="E121" s="9"/>
      <c r="G121" s="9"/>
    </row>
    <row r="122" spans="5:7" ht="12.5" x14ac:dyDescent="0.25">
      <c r="E122" s="9"/>
      <c r="G122" s="9"/>
    </row>
    <row r="123" spans="5:7" ht="12.5" x14ac:dyDescent="0.25">
      <c r="E123" s="9"/>
      <c r="G123" s="9"/>
    </row>
    <row r="124" spans="5:7" ht="12.5" x14ac:dyDescent="0.25">
      <c r="E124" s="9"/>
      <c r="G124" s="9"/>
    </row>
    <row r="125" spans="5:7" ht="12.5" x14ac:dyDescent="0.25">
      <c r="E125" s="9"/>
      <c r="G125" s="9"/>
    </row>
    <row r="126" spans="5:7" ht="12.5" x14ac:dyDescent="0.25">
      <c r="E126" s="9"/>
      <c r="G126" s="9"/>
    </row>
    <row r="127" spans="5:7" ht="12.5" x14ac:dyDescent="0.25">
      <c r="E127" s="9"/>
      <c r="G127" s="9"/>
    </row>
    <row r="128" spans="5:7" ht="12.5" x14ac:dyDescent="0.25">
      <c r="E128" s="9"/>
      <c r="G128" s="9"/>
    </row>
    <row r="129" spans="5:7" ht="12.5" x14ac:dyDescent="0.25">
      <c r="E129" s="9"/>
      <c r="G129" s="9"/>
    </row>
    <row r="130" spans="5:7" ht="12.5" x14ac:dyDescent="0.25">
      <c r="E130" s="9"/>
      <c r="G130" s="9"/>
    </row>
    <row r="131" spans="5:7" ht="12.5" x14ac:dyDescent="0.25">
      <c r="E131" s="9"/>
      <c r="G131" s="9"/>
    </row>
    <row r="132" spans="5:7" ht="12.5" x14ac:dyDescent="0.25">
      <c r="E132" s="9"/>
      <c r="G132" s="9"/>
    </row>
    <row r="133" spans="5:7" ht="12.5" x14ac:dyDescent="0.25">
      <c r="E133" s="9"/>
      <c r="G133" s="9"/>
    </row>
    <row r="134" spans="5:7" ht="12.5" x14ac:dyDescent="0.25">
      <c r="E134" s="9"/>
      <c r="G134" s="9"/>
    </row>
    <row r="135" spans="5:7" ht="12.5" x14ac:dyDescent="0.25">
      <c r="E135" s="9"/>
      <c r="G135" s="9"/>
    </row>
    <row r="136" spans="5:7" ht="12.5" x14ac:dyDescent="0.25">
      <c r="E136" s="9"/>
      <c r="G136" s="9"/>
    </row>
    <row r="137" spans="5:7" ht="12.5" x14ac:dyDescent="0.25">
      <c r="E137" s="9"/>
      <c r="G137" s="9"/>
    </row>
    <row r="138" spans="5:7" ht="12.5" x14ac:dyDescent="0.25">
      <c r="E138" s="9"/>
      <c r="G138" s="9"/>
    </row>
    <row r="139" spans="5:7" ht="12.5" x14ac:dyDescent="0.25">
      <c r="E139" s="9"/>
      <c r="G139" s="9"/>
    </row>
    <row r="140" spans="5:7" ht="12.5" x14ac:dyDescent="0.25">
      <c r="E140" s="9"/>
      <c r="G140" s="9"/>
    </row>
    <row r="141" spans="5:7" ht="12.5" x14ac:dyDescent="0.25">
      <c r="E141" s="9"/>
      <c r="G141" s="9"/>
    </row>
    <row r="142" spans="5:7" ht="12.5" x14ac:dyDescent="0.25">
      <c r="E142" s="9"/>
      <c r="G142" s="9"/>
    </row>
    <row r="143" spans="5:7" ht="12.5" x14ac:dyDescent="0.25">
      <c r="E143" s="9"/>
      <c r="G143" s="9"/>
    </row>
    <row r="144" spans="5:7" ht="12.5" x14ac:dyDescent="0.25">
      <c r="E144" s="9"/>
      <c r="G144" s="9"/>
    </row>
    <row r="145" spans="5:7" ht="12.5" x14ac:dyDescent="0.25">
      <c r="E145" s="9"/>
      <c r="G145" s="9"/>
    </row>
    <row r="146" spans="5:7" ht="12.5" x14ac:dyDescent="0.25">
      <c r="E146" s="9"/>
      <c r="G146" s="9"/>
    </row>
    <row r="147" spans="5:7" ht="12.5" x14ac:dyDescent="0.25">
      <c r="E147" s="9"/>
      <c r="G147" s="9"/>
    </row>
    <row r="148" spans="5:7" ht="12.5" x14ac:dyDescent="0.25">
      <c r="E148" s="9"/>
      <c r="G148" s="9"/>
    </row>
    <row r="149" spans="5:7" ht="12.5" x14ac:dyDescent="0.25">
      <c r="E149" s="9"/>
      <c r="G149" s="9"/>
    </row>
    <row r="150" spans="5:7" ht="12.5" x14ac:dyDescent="0.25">
      <c r="E150" s="9"/>
      <c r="G150" s="9"/>
    </row>
    <row r="151" spans="5:7" ht="12.5" x14ac:dyDescent="0.25">
      <c r="E151" s="9"/>
      <c r="G151" s="9"/>
    </row>
    <row r="152" spans="5:7" ht="12.5" x14ac:dyDescent="0.25">
      <c r="E152" s="9"/>
      <c r="G152" s="9"/>
    </row>
    <row r="153" spans="5:7" ht="12.5" x14ac:dyDescent="0.25">
      <c r="E153" s="9"/>
      <c r="G153" s="9"/>
    </row>
    <row r="154" spans="5:7" ht="12.5" x14ac:dyDescent="0.25">
      <c r="E154" s="9"/>
      <c r="G154" s="9"/>
    </row>
    <row r="155" spans="5:7" ht="12.5" x14ac:dyDescent="0.25">
      <c r="E155" s="9"/>
      <c r="G155" s="9"/>
    </row>
    <row r="156" spans="5:7" ht="12.5" x14ac:dyDescent="0.25">
      <c r="E156" s="9"/>
      <c r="G156" s="9"/>
    </row>
    <row r="157" spans="5:7" ht="12.5" x14ac:dyDescent="0.25">
      <c r="E157" s="9"/>
      <c r="G157" s="9"/>
    </row>
    <row r="158" spans="5:7" ht="12.5" x14ac:dyDescent="0.25">
      <c r="E158" s="9"/>
      <c r="G158" s="9"/>
    </row>
    <row r="159" spans="5:7" ht="12.5" x14ac:dyDescent="0.25">
      <c r="E159" s="9"/>
      <c r="G159" s="9"/>
    </row>
    <row r="160" spans="5:7" ht="12.5" x14ac:dyDescent="0.25">
      <c r="E160" s="9"/>
      <c r="G160" s="9"/>
    </row>
    <row r="161" spans="5:7" ht="12.5" x14ac:dyDescent="0.25">
      <c r="E161" s="9"/>
      <c r="G161" s="9"/>
    </row>
    <row r="162" spans="5:7" ht="12.5" x14ac:dyDescent="0.25">
      <c r="E162" s="9"/>
      <c r="G162" s="9"/>
    </row>
    <row r="163" spans="5:7" ht="12.5" x14ac:dyDescent="0.25">
      <c r="E163" s="9"/>
      <c r="G163" s="9"/>
    </row>
    <row r="164" spans="5:7" ht="12.5" x14ac:dyDescent="0.25">
      <c r="E164" s="9"/>
      <c r="G164" s="9"/>
    </row>
    <row r="165" spans="5:7" ht="12.5" x14ac:dyDescent="0.25">
      <c r="E165" s="9"/>
      <c r="G165" s="9"/>
    </row>
    <row r="166" spans="5:7" ht="12.5" x14ac:dyDescent="0.25">
      <c r="E166" s="9"/>
      <c r="G166" s="9"/>
    </row>
    <row r="167" spans="5:7" ht="12.5" x14ac:dyDescent="0.25">
      <c r="E167" s="9"/>
      <c r="G167" s="9"/>
    </row>
    <row r="168" spans="5:7" ht="12.5" x14ac:dyDescent="0.25">
      <c r="E168" s="9"/>
      <c r="G168" s="9"/>
    </row>
    <row r="169" spans="5:7" ht="12.5" x14ac:dyDescent="0.25">
      <c r="E169" s="9"/>
      <c r="G169" s="9"/>
    </row>
    <row r="170" spans="5:7" ht="12.5" x14ac:dyDescent="0.25">
      <c r="E170" s="9"/>
      <c r="G170" s="9"/>
    </row>
    <row r="171" spans="5:7" ht="12.5" x14ac:dyDescent="0.25">
      <c r="E171" s="9"/>
      <c r="G171" s="9"/>
    </row>
    <row r="172" spans="5:7" ht="12.5" x14ac:dyDescent="0.25">
      <c r="E172" s="9"/>
      <c r="G172" s="9"/>
    </row>
    <row r="173" spans="5:7" ht="12.5" x14ac:dyDescent="0.25">
      <c r="E173" s="9"/>
      <c r="G173" s="9"/>
    </row>
    <row r="174" spans="5:7" ht="12.5" x14ac:dyDescent="0.25">
      <c r="E174" s="9"/>
      <c r="G174" s="9"/>
    </row>
    <row r="175" spans="5:7" ht="12.5" x14ac:dyDescent="0.25">
      <c r="E175" s="9"/>
      <c r="G175" s="9"/>
    </row>
    <row r="176" spans="5:7" ht="12.5" x14ac:dyDescent="0.25">
      <c r="E176" s="9"/>
      <c r="G176" s="9"/>
    </row>
    <row r="177" spans="5:7" ht="12.5" x14ac:dyDescent="0.25">
      <c r="E177" s="9"/>
      <c r="G177" s="9"/>
    </row>
    <row r="178" spans="5:7" ht="12.5" x14ac:dyDescent="0.25">
      <c r="E178" s="9"/>
      <c r="G178" s="9"/>
    </row>
    <row r="179" spans="5:7" ht="12.5" x14ac:dyDescent="0.25">
      <c r="E179" s="9"/>
      <c r="G179" s="9"/>
    </row>
    <row r="180" spans="5:7" ht="12.5" x14ac:dyDescent="0.25">
      <c r="E180" s="9"/>
      <c r="G180" s="9"/>
    </row>
    <row r="181" spans="5:7" ht="12.5" x14ac:dyDescent="0.25">
      <c r="E181" s="9"/>
      <c r="G181" s="9"/>
    </row>
    <row r="182" spans="5:7" ht="12.5" x14ac:dyDescent="0.25">
      <c r="E182" s="9"/>
      <c r="G182" s="9"/>
    </row>
    <row r="183" spans="5:7" ht="12.5" x14ac:dyDescent="0.25">
      <c r="E183" s="9"/>
      <c r="G183" s="9"/>
    </row>
    <row r="184" spans="5:7" ht="12.5" x14ac:dyDescent="0.25">
      <c r="E184" s="9"/>
      <c r="G184" s="9"/>
    </row>
    <row r="185" spans="5:7" ht="12.5" x14ac:dyDescent="0.25">
      <c r="E185" s="9"/>
      <c r="G185" s="9"/>
    </row>
    <row r="186" spans="5:7" ht="12.5" x14ac:dyDescent="0.25">
      <c r="E186" s="9"/>
      <c r="G186" s="9"/>
    </row>
    <row r="187" spans="5:7" ht="12.5" x14ac:dyDescent="0.25">
      <c r="E187" s="9"/>
      <c r="G187" s="9"/>
    </row>
    <row r="188" spans="5:7" ht="12.5" x14ac:dyDescent="0.25">
      <c r="E188" s="9"/>
      <c r="G188" s="9"/>
    </row>
    <row r="189" spans="5:7" ht="12.5" x14ac:dyDescent="0.25">
      <c r="E189" s="9"/>
      <c r="G189" s="9"/>
    </row>
    <row r="190" spans="5:7" ht="12.5" x14ac:dyDescent="0.25">
      <c r="E190" s="9"/>
      <c r="G190" s="9"/>
    </row>
    <row r="191" spans="5:7" ht="12.5" x14ac:dyDescent="0.25">
      <c r="E191" s="9"/>
      <c r="G191" s="9"/>
    </row>
    <row r="192" spans="5:7" ht="12.5" x14ac:dyDescent="0.25">
      <c r="E192" s="9"/>
      <c r="G192" s="9"/>
    </row>
    <row r="193" spans="5:7" ht="12.5" x14ac:dyDescent="0.25">
      <c r="E193" s="9"/>
      <c r="G193" s="9"/>
    </row>
    <row r="194" spans="5:7" ht="12.5" x14ac:dyDescent="0.25">
      <c r="E194" s="9"/>
      <c r="G194" s="9"/>
    </row>
    <row r="195" spans="5:7" ht="12.5" x14ac:dyDescent="0.25">
      <c r="E195" s="9"/>
      <c r="G195" s="9"/>
    </row>
    <row r="196" spans="5:7" ht="12.5" x14ac:dyDescent="0.25">
      <c r="E196" s="9"/>
      <c r="G196" s="9"/>
    </row>
    <row r="197" spans="5:7" ht="12.5" x14ac:dyDescent="0.25">
      <c r="E197" s="9"/>
      <c r="G197" s="9"/>
    </row>
    <row r="198" spans="5:7" ht="12.5" x14ac:dyDescent="0.25">
      <c r="E198" s="9"/>
      <c r="G198" s="9"/>
    </row>
    <row r="199" spans="5:7" ht="12.5" x14ac:dyDescent="0.25">
      <c r="E199" s="9"/>
      <c r="G199" s="9"/>
    </row>
    <row r="200" spans="5:7" ht="12.5" x14ac:dyDescent="0.25">
      <c r="E200" s="9"/>
      <c r="G200" s="9"/>
    </row>
    <row r="201" spans="5:7" ht="12.5" x14ac:dyDescent="0.25">
      <c r="E201" s="9"/>
      <c r="G201" s="9"/>
    </row>
    <row r="202" spans="5:7" ht="12.5" x14ac:dyDescent="0.25">
      <c r="E202" s="9"/>
      <c r="G202" s="9"/>
    </row>
    <row r="203" spans="5:7" ht="12.5" x14ac:dyDescent="0.25">
      <c r="E203" s="9"/>
      <c r="G203" s="9"/>
    </row>
    <row r="204" spans="5:7" ht="12.5" x14ac:dyDescent="0.25">
      <c r="E204" s="9"/>
      <c r="G204" s="9"/>
    </row>
    <row r="205" spans="5:7" ht="12.5" x14ac:dyDescent="0.25">
      <c r="E205" s="9"/>
      <c r="G205" s="9"/>
    </row>
    <row r="206" spans="5:7" ht="12.5" x14ac:dyDescent="0.25">
      <c r="E206" s="9"/>
      <c r="G206" s="9"/>
    </row>
    <row r="207" spans="5:7" ht="12.5" x14ac:dyDescent="0.25">
      <c r="E207" s="9"/>
      <c r="G207" s="9"/>
    </row>
    <row r="208" spans="5:7" ht="12.5" x14ac:dyDescent="0.25">
      <c r="E208" s="9"/>
      <c r="G208" s="9"/>
    </row>
    <row r="209" spans="5:7" ht="12.5" x14ac:dyDescent="0.25">
      <c r="E209" s="9"/>
      <c r="G209" s="9"/>
    </row>
    <row r="210" spans="5:7" ht="12.5" x14ac:dyDescent="0.25">
      <c r="E210" s="9"/>
      <c r="G210" s="9"/>
    </row>
    <row r="211" spans="5:7" ht="12.5" x14ac:dyDescent="0.25">
      <c r="E211" s="9"/>
      <c r="G211" s="9"/>
    </row>
    <row r="212" spans="5:7" ht="12.5" x14ac:dyDescent="0.25">
      <c r="E212" s="9"/>
      <c r="G212" s="9"/>
    </row>
    <row r="213" spans="5:7" ht="12.5" x14ac:dyDescent="0.25">
      <c r="E213" s="9"/>
      <c r="G213" s="9"/>
    </row>
    <row r="214" spans="5:7" ht="12.5" x14ac:dyDescent="0.25">
      <c r="E214" s="9"/>
      <c r="G214" s="9"/>
    </row>
    <row r="215" spans="5:7" ht="12.5" x14ac:dyDescent="0.25">
      <c r="E215" s="9"/>
      <c r="G215" s="9"/>
    </row>
    <row r="216" spans="5:7" ht="12.5" x14ac:dyDescent="0.25">
      <c r="E216" s="9"/>
      <c r="G216" s="9"/>
    </row>
    <row r="217" spans="5:7" ht="12.5" x14ac:dyDescent="0.25">
      <c r="E217" s="9"/>
      <c r="G217" s="9"/>
    </row>
    <row r="218" spans="5:7" ht="12.5" x14ac:dyDescent="0.25">
      <c r="E218" s="9"/>
      <c r="G218" s="9"/>
    </row>
    <row r="219" spans="5:7" ht="12.5" x14ac:dyDescent="0.25">
      <c r="E219" s="9"/>
      <c r="G219" s="9"/>
    </row>
    <row r="220" spans="5:7" ht="12.5" x14ac:dyDescent="0.25">
      <c r="E220" s="9"/>
      <c r="G220" s="9"/>
    </row>
    <row r="221" spans="5:7" ht="12.5" x14ac:dyDescent="0.25">
      <c r="E221" s="9"/>
      <c r="G221" s="9"/>
    </row>
    <row r="222" spans="5:7" ht="12.5" x14ac:dyDescent="0.25">
      <c r="E222" s="9"/>
      <c r="G222" s="9"/>
    </row>
    <row r="223" spans="5:7" ht="12.5" x14ac:dyDescent="0.25">
      <c r="E223" s="9"/>
      <c r="G223" s="9"/>
    </row>
    <row r="224" spans="5:7" ht="12.5" x14ac:dyDescent="0.25">
      <c r="E224" s="9"/>
      <c r="G224" s="9"/>
    </row>
    <row r="225" spans="5:7" ht="12.5" x14ac:dyDescent="0.25">
      <c r="E225" s="9"/>
      <c r="G225" s="9"/>
    </row>
    <row r="226" spans="5:7" ht="12.5" x14ac:dyDescent="0.25">
      <c r="E226" s="9"/>
      <c r="G226" s="9"/>
    </row>
    <row r="227" spans="5:7" ht="12.5" x14ac:dyDescent="0.25">
      <c r="E227" s="9"/>
      <c r="G227" s="9"/>
    </row>
    <row r="228" spans="5:7" ht="12.5" x14ac:dyDescent="0.25">
      <c r="E228" s="9"/>
      <c r="G228" s="9"/>
    </row>
    <row r="229" spans="5:7" ht="12.5" x14ac:dyDescent="0.25">
      <c r="E229" s="9"/>
      <c r="G229" s="9"/>
    </row>
    <row r="230" spans="5:7" ht="12.5" x14ac:dyDescent="0.25">
      <c r="E230" s="9"/>
      <c r="G230" s="9"/>
    </row>
    <row r="231" spans="5:7" ht="12.5" x14ac:dyDescent="0.25">
      <c r="E231" s="9"/>
      <c r="G231" s="9"/>
    </row>
    <row r="232" spans="5:7" ht="12.5" x14ac:dyDescent="0.25">
      <c r="E232" s="9"/>
      <c r="G232" s="9"/>
    </row>
    <row r="233" spans="5:7" ht="12.5" x14ac:dyDescent="0.25">
      <c r="E233" s="9"/>
      <c r="G233" s="9"/>
    </row>
    <row r="234" spans="5:7" ht="12.5" x14ac:dyDescent="0.25">
      <c r="E234" s="9"/>
      <c r="G234" s="9"/>
    </row>
    <row r="235" spans="5:7" ht="12.5" x14ac:dyDescent="0.25">
      <c r="E235" s="9"/>
      <c r="G235" s="9"/>
    </row>
    <row r="236" spans="5:7" ht="12.5" x14ac:dyDescent="0.25">
      <c r="E236" s="9"/>
      <c r="G236" s="9"/>
    </row>
    <row r="237" spans="5:7" ht="12.5" x14ac:dyDescent="0.25">
      <c r="E237" s="9"/>
      <c r="G237" s="9"/>
    </row>
    <row r="238" spans="5:7" ht="12.5" x14ac:dyDescent="0.25">
      <c r="E238" s="9"/>
      <c r="G238" s="9"/>
    </row>
    <row r="239" spans="5:7" ht="12.5" x14ac:dyDescent="0.25">
      <c r="E239" s="9"/>
      <c r="G239" s="9"/>
    </row>
    <row r="240" spans="5:7" ht="12.5" x14ac:dyDescent="0.25">
      <c r="E240" s="9"/>
      <c r="G240" s="9"/>
    </row>
    <row r="241" spans="5:7" ht="12.5" x14ac:dyDescent="0.25">
      <c r="E241" s="9"/>
      <c r="G241" s="9"/>
    </row>
    <row r="242" spans="5:7" ht="12.5" x14ac:dyDescent="0.25">
      <c r="E242" s="9"/>
      <c r="G242" s="9"/>
    </row>
    <row r="243" spans="5:7" ht="12.5" x14ac:dyDescent="0.25">
      <c r="E243" s="9"/>
      <c r="G243" s="9"/>
    </row>
    <row r="244" spans="5:7" ht="12.5" x14ac:dyDescent="0.25">
      <c r="E244" s="9"/>
      <c r="G244" s="9"/>
    </row>
    <row r="245" spans="5:7" ht="12.5" x14ac:dyDescent="0.25">
      <c r="E245" s="9"/>
      <c r="G245" s="9"/>
    </row>
    <row r="246" spans="5:7" ht="12.5" x14ac:dyDescent="0.25">
      <c r="E246" s="9"/>
      <c r="G246" s="9"/>
    </row>
    <row r="247" spans="5:7" ht="12.5" x14ac:dyDescent="0.25">
      <c r="E247" s="9"/>
      <c r="G247" s="9"/>
    </row>
    <row r="248" spans="5:7" ht="12.5" x14ac:dyDescent="0.25">
      <c r="E248" s="9"/>
      <c r="G248" s="9"/>
    </row>
    <row r="249" spans="5:7" ht="12.5" x14ac:dyDescent="0.25">
      <c r="E249" s="9"/>
      <c r="G249" s="9"/>
    </row>
    <row r="250" spans="5:7" ht="12.5" x14ac:dyDescent="0.25">
      <c r="E250" s="9"/>
      <c r="G250" s="9"/>
    </row>
    <row r="251" spans="5:7" ht="12.5" x14ac:dyDescent="0.25">
      <c r="E251" s="9"/>
      <c r="G251" s="9"/>
    </row>
    <row r="252" spans="5:7" ht="12.5" x14ac:dyDescent="0.25">
      <c r="E252" s="9"/>
      <c r="G252" s="9"/>
    </row>
    <row r="253" spans="5:7" ht="12.5" x14ac:dyDescent="0.25">
      <c r="E253" s="9"/>
      <c r="G253" s="9"/>
    </row>
    <row r="254" spans="5:7" ht="12.5" x14ac:dyDescent="0.25">
      <c r="E254" s="9"/>
      <c r="G254" s="9"/>
    </row>
    <row r="255" spans="5:7" ht="12.5" x14ac:dyDescent="0.25">
      <c r="E255" s="9"/>
      <c r="G255" s="9"/>
    </row>
    <row r="256" spans="5:7" ht="12.5" x14ac:dyDescent="0.25">
      <c r="E256" s="9"/>
      <c r="G256" s="9"/>
    </row>
    <row r="257" spans="5:7" ht="12.5" x14ac:dyDescent="0.25">
      <c r="E257" s="9"/>
      <c r="G257" s="9"/>
    </row>
    <row r="258" spans="5:7" ht="12.5" x14ac:dyDescent="0.25">
      <c r="E258" s="9"/>
      <c r="G258" s="9"/>
    </row>
    <row r="259" spans="5:7" ht="12.5" x14ac:dyDescent="0.25">
      <c r="E259" s="9"/>
      <c r="G259" s="9"/>
    </row>
    <row r="260" spans="5:7" ht="12.5" x14ac:dyDescent="0.25">
      <c r="E260" s="9"/>
      <c r="G260" s="9"/>
    </row>
    <row r="261" spans="5:7" ht="12.5" x14ac:dyDescent="0.25">
      <c r="E261" s="9"/>
      <c r="G261" s="9"/>
    </row>
    <row r="262" spans="5:7" ht="12.5" x14ac:dyDescent="0.25">
      <c r="E262" s="9"/>
      <c r="G262" s="9"/>
    </row>
    <row r="263" spans="5:7" ht="12.5" x14ac:dyDescent="0.25">
      <c r="E263" s="9"/>
      <c r="G263" s="9"/>
    </row>
    <row r="264" spans="5:7" ht="12.5" x14ac:dyDescent="0.25">
      <c r="E264" s="9"/>
      <c r="G264" s="9"/>
    </row>
    <row r="265" spans="5:7" ht="12.5" x14ac:dyDescent="0.25">
      <c r="E265" s="9"/>
      <c r="G265" s="9"/>
    </row>
    <row r="266" spans="5:7" ht="12.5" x14ac:dyDescent="0.25">
      <c r="E266" s="9"/>
      <c r="G266" s="9"/>
    </row>
    <row r="267" spans="5:7" ht="12.5" x14ac:dyDescent="0.25">
      <c r="E267" s="9"/>
      <c r="G267" s="9"/>
    </row>
    <row r="268" spans="5:7" ht="12.5" x14ac:dyDescent="0.25">
      <c r="E268" s="9"/>
      <c r="G268" s="9"/>
    </row>
    <row r="269" spans="5:7" ht="12.5" x14ac:dyDescent="0.25">
      <c r="E269" s="9"/>
      <c r="G269" s="9"/>
    </row>
    <row r="270" spans="5:7" ht="12.5" x14ac:dyDescent="0.25">
      <c r="E270" s="9"/>
      <c r="G270" s="9"/>
    </row>
    <row r="271" spans="5:7" ht="12.5" x14ac:dyDescent="0.25">
      <c r="E271" s="9"/>
      <c r="G271" s="9"/>
    </row>
    <row r="272" spans="5:7" ht="12.5" x14ac:dyDescent="0.25">
      <c r="E272" s="9"/>
      <c r="G272" s="9"/>
    </row>
    <row r="273" spans="5:7" ht="12.5" x14ac:dyDescent="0.25">
      <c r="E273" s="9"/>
      <c r="G273" s="9"/>
    </row>
    <row r="274" spans="5:7" ht="12.5" x14ac:dyDescent="0.25">
      <c r="E274" s="9"/>
      <c r="G274" s="9"/>
    </row>
    <row r="275" spans="5:7" ht="12.5" x14ac:dyDescent="0.25">
      <c r="E275" s="9"/>
      <c r="G275" s="9"/>
    </row>
    <row r="276" spans="5:7" ht="12.5" x14ac:dyDescent="0.25">
      <c r="E276" s="9"/>
      <c r="G276" s="9"/>
    </row>
    <row r="277" spans="5:7" ht="12.5" x14ac:dyDescent="0.25">
      <c r="E277" s="9"/>
      <c r="G277" s="9"/>
    </row>
    <row r="278" spans="5:7" ht="12.5" x14ac:dyDescent="0.25">
      <c r="E278" s="9"/>
      <c r="G278" s="9"/>
    </row>
    <row r="279" spans="5:7" ht="12.5" x14ac:dyDescent="0.25">
      <c r="E279" s="9"/>
      <c r="G279" s="9"/>
    </row>
    <row r="280" spans="5:7" ht="12.5" x14ac:dyDescent="0.25">
      <c r="E280" s="9"/>
      <c r="G280" s="9"/>
    </row>
    <row r="281" spans="5:7" ht="12.5" x14ac:dyDescent="0.25">
      <c r="E281" s="9"/>
      <c r="G281" s="9"/>
    </row>
    <row r="282" spans="5:7" ht="12.5" x14ac:dyDescent="0.25">
      <c r="E282" s="9"/>
      <c r="G282" s="9"/>
    </row>
    <row r="283" spans="5:7" ht="12.5" x14ac:dyDescent="0.25">
      <c r="E283" s="9"/>
      <c r="G283" s="9"/>
    </row>
    <row r="284" spans="5:7" ht="12.5" x14ac:dyDescent="0.25">
      <c r="E284" s="9"/>
      <c r="G284" s="9"/>
    </row>
    <row r="285" spans="5:7" ht="12.5" x14ac:dyDescent="0.25">
      <c r="E285" s="9"/>
      <c r="G285" s="9"/>
    </row>
    <row r="286" spans="5:7" ht="12.5" x14ac:dyDescent="0.25">
      <c r="E286" s="9"/>
      <c r="G286" s="9"/>
    </row>
    <row r="287" spans="5:7" ht="12.5" x14ac:dyDescent="0.25">
      <c r="E287" s="9"/>
      <c r="G287" s="9"/>
    </row>
    <row r="288" spans="5:7" ht="12.5" x14ac:dyDescent="0.25">
      <c r="E288" s="9"/>
      <c r="G288" s="9"/>
    </row>
    <row r="289" spans="5:7" ht="12.5" x14ac:dyDescent="0.25">
      <c r="E289" s="9"/>
      <c r="G289" s="9"/>
    </row>
    <row r="290" spans="5:7" ht="12.5" x14ac:dyDescent="0.25">
      <c r="E290" s="9"/>
      <c r="G290" s="9"/>
    </row>
    <row r="291" spans="5:7" ht="12.5" x14ac:dyDescent="0.25">
      <c r="E291" s="9"/>
      <c r="G291" s="9"/>
    </row>
    <row r="292" spans="5:7" ht="12.5" x14ac:dyDescent="0.25">
      <c r="E292" s="9"/>
      <c r="G292" s="9"/>
    </row>
    <row r="293" spans="5:7" ht="12.5" x14ac:dyDescent="0.25">
      <c r="E293" s="9"/>
      <c r="G293" s="9"/>
    </row>
    <row r="294" spans="5:7" ht="12.5" x14ac:dyDescent="0.25">
      <c r="E294" s="9"/>
      <c r="G294" s="9"/>
    </row>
    <row r="295" spans="5:7" ht="12.5" x14ac:dyDescent="0.25">
      <c r="E295" s="9"/>
      <c r="G295" s="9"/>
    </row>
    <row r="296" spans="5:7" ht="12.5" x14ac:dyDescent="0.25">
      <c r="E296" s="9"/>
      <c r="G296" s="9"/>
    </row>
    <row r="297" spans="5:7" ht="12.5" x14ac:dyDescent="0.25">
      <c r="E297" s="9"/>
      <c r="G297" s="9"/>
    </row>
    <row r="298" spans="5:7" ht="12.5" x14ac:dyDescent="0.25">
      <c r="E298" s="9"/>
      <c r="G298" s="9"/>
    </row>
    <row r="299" spans="5:7" ht="12.5" x14ac:dyDescent="0.25">
      <c r="E299" s="9"/>
      <c r="G299" s="9"/>
    </row>
    <row r="300" spans="5:7" ht="12.5" x14ac:dyDescent="0.25">
      <c r="E300" s="9"/>
      <c r="G300" s="9"/>
    </row>
    <row r="301" spans="5:7" ht="12.5" x14ac:dyDescent="0.25">
      <c r="E301" s="9"/>
      <c r="G301" s="9"/>
    </row>
    <row r="302" spans="5:7" ht="12.5" x14ac:dyDescent="0.25">
      <c r="E302" s="9"/>
      <c r="G302" s="9"/>
    </row>
    <row r="303" spans="5:7" ht="12.5" x14ac:dyDescent="0.25">
      <c r="E303" s="9"/>
      <c r="G303" s="9"/>
    </row>
    <row r="304" spans="5:7" ht="12.5" x14ac:dyDescent="0.25">
      <c r="E304" s="9"/>
      <c r="G304" s="9"/>
    </row>
    <row r="305" spans="5:7" ht="12.5" x14ac:dyDescent="0.25">
      <c r="E305" s="9"/>
      <c r="G305" s="9"/>
    </row>
    <row r="306" spans="5:7" ht="12.5" x14ac:dyDescent="0.25">
      <c r="E306" s="9"/>
      <c r="G306" s="9"/>
    </row>
    <row r="307" spans="5:7" ht="12.5" x14ac:dyDescent="0.25">
      <c r="E307" s="9"/>
      <c r="G307" s="9"/>
    </row>
    <row r="308" spans="5:7" ht="12.5" x14ac:dyDescent="0.25">
      <c r="E308" s="9"/>
      <c r="G308" s="9"/>
    </row>
    <row r="309" spans="5:7" ht="12.5" x14ac:dyDescent="0.25">
      <c r="E309" s="9"/>
      <c r="G309" s="9"/>
    </row>
    <row r="310" spans="5:7" ht="12.5" x14ac:dyDescent="0.25">
      <c r="E310" s="9"/>
      <c r="G310" s="9"/>
    </row>
    <row r="311" spans="5:7" ht="12.5" x14ac:dyDescent="0.25">
      <c r="E311" s="9"/>
      <c r="G311" s="9"/>
    </row>
    <row r="312" spans="5:7" ht="12.5" x14ac:dyDescent="0.25">
      <c r="E312" s="9"/>
      <c r="G312" s="9"/>
    </row>
    <row r="313" spans="5:7" ht="12.5" x14ac:dyDescent="0.25">
      <c r="E313" s="9"/>
      <c r="G313" s="9"/>
    </row>
    <row r="314" spans="5:7" ht="12.5" x14ac:dyDescent="0.25">
      <c r="E314" s="9"/>
      <c r="G314" s="9"/>
    </row>
    <row r="315" spans="5:7" ht="12.5" x14ac:dyDescent="0.25">
      <c r="E315" s="9"/>
      <c r="G315" s="9"/>
    </row>
    <row r="316" spans="5:7" ht="12.5" x14ac:dyDescent="0.25">
      <c r="E316" s="9"/>
      <c r="G316" s="9"/>
    </row>
    <row r="317" spans="5:7" ht="12.5" x14ac:dyDescent="0.25">
      <c r="E317" s="9"/>
      <c r="G317" s="9"/>
    </row>
    <row r="318" spans="5:7" ht="12.5" x14ac:dyDescent="0.25">
      <c r="E318" s="9"/>
      <c r="G318" s="9"/>
    </row>
    <row r="319" spans="5:7" ht="12.5" x14ac:dyDescent="0.25">
      <c r="E319" s="9"/>
      <c r="G319" s="9"/>
    </row>
    <row r="320" spans="5:7" ht="12.5" x14ac:dyDescent="0.25">
      <c r="E320" s="9"/>
      <c r="G320" s="9"/>
    </row>
    <row r="321" spans="5:7" ht="12.5" x14ac:dyDescent="0.25">
      <c r="E321" s="9"/>
      <c r="G321" s="9"/>
    </row>
    <row r="322" spans="5:7" ht="12.5" x14ac:dyDescent="0.25">
      <c r="E322" s="9"/>
      <c r="G322" s="9"/>
    </row>
    <row r="323" spans="5:7" ht="12.5" x14ac:dyDescent="0.25">
      <c r="E323" s="9"/>
      <c r="G323" s="9"/>
    </row>
    <row r="324" spans="5:7" ht="12.5" x14ac:dyDescent="0.25">
      <c r="E324" s="9"/>
      <c r="G324" s="9"/>
    </row>
    <row r="325" spans="5:7" ht="12.5" x14ac:dyDescent="0.25">
      <c r="E325" s="9"/>
      <c r="G325" s="9"/>
    </row>
    <row r="326" spans="5:7" ht="12.5" x14ac:dyDescent="0.25">
      <c r="E326" s="9"/>
      <c r="G326" s="9"/>
    </row>
    <row r="327" spans="5:7" ht="12.5" x14ac:dyDescent="0.25">
      <c r="E327" s="9"/>
      <c r="G327" s="9"/>
    </row>
    <row r="328" spans="5:7" ht="12.5" x14ac:dyDescent="0.25">
      <c r="E328" s="9"/>
      <c r="G328" s="9"/>
    </row>
    <row r="329" spans="5:7" ht="12.5" x14ac:dyDescent="0.25">
      <c r="E329" s="9"/>
      <c r="G329" s="9"/>
    </row>
    <row r="330" spans="5:7" ht="12.5" x14ac:dyDescent="0.25">
      <c r="E330" s="9"/>
      <c r="G330" s="9"/>
    </row>
    <row r="331" spans="5:7" ht="12.5" x14ac:dyDescent="0.25">
      <c r="E331" s="9"/>
      <c r="G331" s="9"/>
    </row>
    <row r="332" spans="5:7" ht="12.5" x14ac:dyDescent="0.25">
      <c r="E332" s="9"/>
      <c r="G332" s="9"/>
    </row>
    <row r="333" spans="5:7" ht="12.5" x14ac:dyDescent="0.25">
      <c r="E333" s="9"/>
      <c r="G333" s="9"/>
    </row>
    <row r="334" spans="5:7" ht="12.5" x14ac:dyDescent="0.25">
      <c r="E334" s="9"/>
      <c r="G334" s="9"/>
    </row>
    <row r="335" spans="5:7" ht="12.5" x14ac:dyDescent="0.25">
      <c r="E335" s="9"/>
      <c r="G335" s="9"/>
    </row>
    <row r="336" spans="5:7" ht="12.5" x14ac:dyDescent="0.25">
      <c r="E336" s="9"/>
      <c r="G336" s="9"/>
    </row>
    <row r="337" spans="5:7" ht="12.5" x14ac:dyDescent="0.25">
      <c r="E337" s="9"/>
      <c r="G337" s="9"/>
    </row>
    <row r="338" spans="5:7" ht="12.5" x14ac:dyDescent="0.25">
      <c r="E338" s="9"/>
      <c r="G338" s="9"/>
    </row>
    <row r="339" spans="5:7" ht="12.5" x14ac:dyDescent="0.25">
      <c r="E339" s="9"/>
      <c r="G339" s="9"/>
    </row>
    <row r="340" spans="5:7" ht="12.5" x14ac:dyDescent="0.25">
      <c r="E340" s="9"/>
      <c r="G340" s="9"/>
    </row>
    <row r="341" spans="5:7" ht="12.5" x14ac:dyDescent="0.25">
      <c r="E341" s="9"/>
      <c r="G341" s="9"/>
    </row>
    <row r="342" spans="5:7" ht="12.5" x14ac:dyDescent="0.25">
      <c r="E342" s="9"/>
      <c r="G342" s="9"/>
    </row>
    <row r="343" spans="5:7" ht="12.5" x14ac:dyDescent="0.25">
      <c r="E343" s="9"/>
      <c r="G343" s="9"/>
    </row>
    <row r="344" spans="5:7" ht="12.5" x14ac:dyDescent="0.25">
      <c r="E344" s="9"/>
      <c r="G344" s="9"/>
    </row>
    <row r="345" spans="5:7" ht="12.5" x14ac:dyDescent="0.25">
      <c r="E345" s="9"/>
      <c r="G345" s="9"/>
    </row>
    <row r="346" spans="5:7" ht="12.5" x14ac:dyDescent="0.25">
      <c r="E346" s="9"/>
      <c r="G346" s="9"/>
    </row>
    <row r="347" spans="5:7" ht="12.5" x14ac:dyDescent="0.25">
      <c r="E347" s="9"/>
      <c r="G347" s="9"/>
    </row>
    <row r="348" spans="5:7" ht="12.5" x14ac:dyDescent="0.25">
      <c r="E348" s="9"/>
      <c r="G348" s="9"/>
    </row>
    <row r="349" spans="5:7" ht="12.5" x14ac:dyDescent="0.25">
      <c r="E349" s="9"/>
      <c r="G349" s="9"/>
    </row>
    <row r="350" spans="5:7" ht="12.5" x14ac:dyDescent="0.25">
      <c r="E350" s="9"/>
      <c r="G350" s="9"/>
    </row>
    <row r="351" spans="5:7" ht="12.5" x14ac:dyDescent="0.25">
      <c r="E351" s="9"/>
      <c r="G351" s="9"/>
    </row>
    <row r="352" spans="5:7" ht="12.5" x14ac:dyDescent="0.25">
      <c r="E352" s="9"/>
      <c r="G352" s="9"/>
    </row>
    <row r="353" spans="5:7" ht="12.5" x14ac:dyDescent="0.25">
      <c r="E353" s="9"/>
      <c r="G353" s="9"/>
    </row>
    <row r="354" spans="5:7" ht="12.5" x14ac:dyDescent="0.25">
      <c r="E354" s="9"/>
      <c r="G354" s="9"/>
    </row>
    <row r="355" spans="5:7" ht="12.5" x14ac:dyDescent="0.25">
      <c r="E355" s="9"/>
      <c r="G355" s="9"/>
    </row>
    <row r="356" spans="5:7" ht="12.5" x14ac:dyDescent="0.25">
      <c r="E356" s="9"/>
      <c r="G356" s="9"/>
    </row>
    <row r="357" spans="5:7" ht="12.5" x14ac:dyDescent="0.25">
      <c r="E357" s="9"/>
      <c r="G357" s="9"/>
    </row>
    <row r="358" spans="5:7" ht="12.5" x14ac:dyDescent="0.25">
      <c r="E358" s="9"/>
      <c r="G358" s="9"/>
    </row>
    <row r="359" spans="5:7" ht="12.5" x14ac:dyDescent="0.25">
      <c r="E359" s="9"/>
      <c r="G359" s="9"/>
    </row>
    <row r="360" spans="5:7" ht="12.5" x14ac:dyDescent="0.25">
      <c r="E360" s="9"/>
      <c r="G360" s="9"/>
    </row>
    <row r="361" spans="5:7" ht="12.5" x14ac:dyDescent="0.25">
      <c r="E361" s="9"/>
      <c r="G361" s="9"/>
    </row>
    <row r="362" spans="5:7" ht="12.5" x14ac:dyDescent="0.25">
      <c r="E362" s="9"/>
      <c r="G362" s="9"/>
    </row>
    <row r="363" spans="5:7" ht="12.5" x14ac:dyDescent="0.25">
      <c r="E363" s="9"/>
      <c r="G363" s="9"/>
    </row>
    <row r="364" spans="5:7" ht="12.5" x14ac:dyDescent="0.25">
      <c r="E364" s="9"/>
      <c r="G364" s="9"/>
    </row>
    <row r="365" spans="5:7" ht="12.5" x14ac:dyDescent="0.25">
      <c r="E365" s="9"/>
      <c r="G365" s="9"/>
    </row>
    <row r="366" spans="5:7" ht="12.5" x14ac:dyDescent="0.25">
      <c r="E366" s="9"/>
      <c r="G366" s="9"/>
    </row>
    <row r="367" spans="5:7" ht="12.5" x14ac:dyDescent="0.25">
      <c r="E367" s="9"/>
      <c r="G367" s="9"/>
    </row>
    <row r="368" spans="5:7" ht="12.5" x14ac:dyDescent="0.25">
      <c r="E368" s="9"/>
      <c r="G368" s="9"/>
    </row>
    <row r="369" spans="5:7" ht="12.5" x14ac:dyDescent="0.25">
      <c r="E369" s="9"/>
      <c r="G369" s="9"/>
    </row>
    <row r="370" spans="5:7" ht="12.5" x14ac:dyDescent="0.25">
      <c r="E370" s="9"/>
      <c r="G370" s="9"/>
    </row>
    <row r="371" spans="5:7" ht="12.5" x14ac:dyDescent="0.25">
      <c r="E371" s="9"/>
      <c r="G371" s="9"/>
    </row>
    <row r="372" spans="5:7" ht="12.5" x14ac:dyDescent="0.25">
      <c r="E372" s="9"/>
      <c r="G372" s="9"/>
    </row>
    <row r="373" spans="5:7" ht="12.5" x14ac:dyDescent="0.25">
      <c r="E373" s="9"/>
      <c r="G373" s="9"/>
    </row>
    <row r="374" spans="5:7" ht="12.5" x14ac:dyDescent="0.25">
      <c r="E374" s="9"/>
      <c r="G374" s="9"/>
    </row>
    <row r="375" spans="5:7" ht="12.5" x14ac:dyDescent="0.25">
      <c r="E375" s="9"/>
      <c r="G375" s="9"/>
    </row>
    <row r="376" spans="5:7" ht="12.5" x14ac:dyDescent="0.25">
      <c r="E376" s="9"/>
      <c r="G376" s="9"/>
    </row>
    <row r="377" spans="5:7" ht="12.5" x14ac:dyDescent="0.25">
      <c r="E377" s="9"/>
      <c r="G377" s="9"/>
    </row>
    <row r="378" spans="5:7" ht="12.5" x14ac:dyDescent="0.25">
      <c r="E378" s="9"/>
      <c r="G378" s="9"/>
    </row>
    <row r="379" spans="5:7" ht="12.5" x14ac:dyDescent="0.25">
      <c r="E379" s="9"/>
      <c r="G379" s="9"/>
    </row>
    <row r="380" spans="5:7" ht="12.5" x14ac:dyDescent="0.25">
      <c r="E380" s="9"/>
      <c r="G380" s="9"/>
    </row>
    <row r="381" spans="5:7" ht="12.5" x14ac:dyDescent="0.25">
      <c r="E381" s="9"/>
      <c r="G381" s="9"/>
    </row>
    <row r="382" spans="5:7" ht="12.5" x14ac:dyDescent="0.25">
      <c r="E382" s="9"/>
      <c r="G382" s="9"/>
    </row>
    <row r="383" spans="5:7" ht="12.5" x14ac:dyDescent="0.25">
      <c r="E383" s="9"/>
      <c r="G383" s="9"/>
    </row>
    <row r="384" spans="5:7" ht="12.5" x14ac:dyDescent="0.25">
      <c r="E384" s="9"/>
      <c r="G384" s="9"/>
    </row>
    <row r="385" spans="5:7" ht="12.5" x14ac:dyDescent="0.25">
      <c r="E385" s="9"/>
      <c r="G385" s="9"/>
    </row>
    <row r="386" spans="5:7" ht="12.5" x14ac:dyDescent="0.25">
      <c r="E386" s="9"/>
      <c r="G386" s="9"/>
    </row>
    <row r="387" spans="5:7" ht="12.5" x14ac:dyDescent="0.25">
      <c r="E387" s="9"/>
      <c r="G387" s="9"/>
    </row>
    <row r="388" spans="5:7" ht="12.5" x14ac:dyDescent="0.25">
      <c r="E388" s="9"/>
      <c r="G388" s="9"/>
    </row>
    <row r="389" spans="5:7" ht="12.5" x14ac:dyDescent="0.25">
      <c r="E389" s="9"/>
      <c r="G389" s="9"/>
    </row>
    <row r="390" spans="5:7" ht="12.5" x14ac:dyDescent="0.25">
      <c r="E390" s="9"/>
      <c r="G390" s="9"/>
    </row>
    <row r="391" spans="5:7" ht="12.5" x14ac:dyDescent="0.25">
      <c r="E391" s="9"/>
      <c r="G391" s="9"/>
    </row>
    <row r="392" spans="5:7" ht="12.5" x14ac:dyDescent="0.25">
      <c r="E392" s="9"/>
      <c r="G392" s="9"/>
    </row>
    <row r="393" spans="5:7" ht="12.5" x14ac:dyDescent="0.25">
      <c r="E393" s="9"/>
      <c r="G393" s="9"/>
    </row>
    <row r="394" spans="5:7" ht="12.5" x14ac:dyDescent="0.25">
      <c r="E394" s="9"/>
      <c r="G394" s="9"/>
    </row>
    <row r="395" spans="5:7" ht="12.5" x14ac:dyDescent="0.25">
      <c r="E395" s="9"/>
      <c r="G395" s="9"/>
    </row>
    <row r="396" spans="5:7" ht="12.5" x14ac:dyDescent="0.25">
      <c r="E396" s="9"/>
      <c r="G396" s="9"/>
    </row>
    <row r="397" spans="5:7" ht="12.5" x14ac:dyDescent="0.25">
      <c r="E397" s="9"/>
      <c r="G397" s="9"/>
    </row>
    <row r="398" spans="5:7" ht="12.5" x14ac:dyDescent="0.25">
      <c r="E398" s="9"/>
      <c r="G398" s="9"/>
    </row>
    <row r="399" spans="5:7" ht="12.5" x14ac:dyDescent="0.25">
      <c r="E399" s="9"/>
      <c r="G399" s="9"/>
    </row>
    <row r="400" spans="5:7" ht="12.5" x14ac:dyDescent="0.25">
      <c r="E400" s="9"/>
      <c r="G400" s="9"/>
    </row>
    <row r="401" spans="5:7" ht="12.5" x14ac:dyDescent="0.25">
      <c r="E401" s="9"/>
      <c r="G401" s="9"/>
    </row>
    <row r="402" spans="5:7" ht="12.5" x14ac:dyDescent="0.25">
      <c r="E402" s="9"/>
      <c r="G402" s="9"/>
    </row>
    <row r="403" spans="5:7" ht="12.5" x14ac:dyDescent="0.25">
      <c r="E403" s="9"/>
      <c r="G403" s="9"/>
    </row>
    <row r="404" spans="5:7" ht="12.5" x14ac:dyDescent="0.25">
      <c r="E404" s="9"/>
      <c r="G404" s="9"/>
    </row>
    <row r="405" spans="5:7" ht="12.5" x14ac:dyDescent="0.25">
      <c r="E405" s="9"/>
      <c r="G405" s="9"/>
    </row>
    <row r="406" spans="5:7" ht="12.5" x14ac:dyDescent="0.25">
      <c r="E406" s="9"/>
      <c r="G406" s="9"/>
    </row>
    <row r="407" spans="5:7" ht="12.5" x14ac:dyDescent="0.25">
      <c r="E407" s="9"/>
      <c r="G407" s="9"/>
    </row>
    <row r="408" spans="5:7" ht="12.5" x14ac:dyDescent="0.25">
      <c r="E408" s="9"/>
      <c r="G408" s="9"/>
    </row>
    <row r="409" spans="5:7" ht="12.5" x14ac:dyDescent="0.25">
      <c r="E409" s="9"/>
      <c r="G409" s="9"/>
    </row>
    <row r="410" spans="5:7" ht="12.5" x14ac:dyDescent="0.25">
      <c r="E410" s="9"/>
      <c r="G410" s="9"/>
    </row>
    <row r="411" spans="5:7" ht="12.5" x14ac:dyDescent="0.25">
      <c r="E411" s="9"/>
      <c r="G411" s="9"/>
    </row>
    <row r="412" spans="5:7" ht="12.5" x14ac:dyDescent="0.25">
      <c r="E412" s="9"/>
      <c r="G412" s="9"/>
    </row>
    <row r="413" spans="5:7" ht="12.5" x14ac:dyDescent="0.25">
      <c r="E413" s="9"/>
      <c r="G413" s="9"/>
    </row>
    <row r="414" spans="5:7" ht="12.5" x14ac:dyDescent="0.25">
      <c r="E414" s="9"/>
      <c r="G414" s="9"/>
    </row>
    <row r="415" spans="5:7" ht="12.5" x14ac:dyDescent="0.25">
      <c r="E415" s="9"/>
      <c r="G415" s="9"/>
    </row>
    <row r="416" spans="5:7" ht="12.5" x14ac:dyDescent="0.25">
      <c r="E416" s="9"/>
      <c r="G416" s="9"/>
    </row>
    <row r="417" spans="5:7" ht="12.5" x14ac:dyDescent="0.25">
      <c r="E417" s="9"/>
      <c r="G417" s="9"/>
    </row>
    <row r="418" spans="5:7" ht="12.5" x14ac:dyDescent="0.25">
      <c r="E418" s="9"/>
      <c r="G418" s="9"/>
    </row>
    <row r="419" spans="5:7" ht="12.5" x14ac:dyDescent="0.25">
      <c r="E419" s="9"/>
      <c r="G419" s="9"/>
    </row>
    <row r="420" spans="5:7" ht="12.5" x14ac:dyDescent="0.25">
      <c r="E420" s="9"/>
      <c r="G420" s="9"/>
    </row>
    <row r="421" spans="5:7" ht="12.5" x14ac:dyDescent="0.25">
      <c r="E421" s="9"/>
      <c r="G421" s="9"/>
    </row>
    <row r="422" spans="5:7" ht="12.5" x14ac:dyDescent="0.25">
      <c r="E422" s="9"/>
      <c r="G422" s="9"/>
    </row>
    <row r="423" spans="5:7" ht="12.5" x14ac:dyDescent="0.25">
      <c r="E423" s="9"/>
      <c r="G423" s="9"/>
    </row>
    <row r="424" spans="5:7" ht="12.5" x14ac:dyDescent="0.25">
      <c r="E424" s="9"/>
      <c r="G424" s="9"/>
    </row>
    <row r="425" spans="5:7" ht="12.5" x14ac:dyDescent="0.25">
      <c r="E425" s="9"/>
      <c r="G425" s="9"/>
    </row>
    <row r="426" spans="5:7" ht="12.5" x14ac:dyDescent="0.25">
      <c r="E426" s="9"/>
      <c r="G426" s="9"/>
    </row>
    <row r="427" spans="5:7" ht="12.5" x14ac:dyDescent="0.25">
      <c r="E427" s="9"/>
      <c r="G427" s="9"/>
    </row>
    <row r="428" spans="5:7" ht="12.5" x14ac:dyDescent="0.25">
      <c r="E428" s="9"/>
      <c r="G428" s="9"/>
    </row>
    <row r="429" spans="5:7" ht="12.5" x14ac:dyDescent="0.25">
      <c r="E429" s="9"/>
      <c r="G429" s="9"/>
    </row>
    <row r="430" spans="5:7" ht="12.5" x14ac:dyDescent="0.25">
      <c r="E430" s="9"/>
      <c r="G430" s="9"/>
    </row>
    <row r="431" spans="5:7" ht="12.5" x14ac:dyDescent="0.25">
      <c r="E431" s="9"/>
      <c r="G431" s="9"/>
    </row>
    <row r="432" spans="5:7" ht="12.5" x14ac:dyDescent="0.25">
      <c r="E432" s="9"/>
      <c r="G432" s="9"/>
    </row>
    <row r="433" spans="5:7" ht="12.5" x14ac:dyDescent="0.25">
      <c r="E433" s="9"/>
      <c r="G433" s="9"/>
    </row>
    <row r="434" spans="5:7" ht="12.5" x14ac:dyDescent="0.25">
      <c r="E434" s="9"/>
      <c r="G434" s="9"/>
    </row>
    <row r="435" spans="5:7" ht="12.5" x14ac:dyDescent="0.25">
      <c r="E435" s="9"/>
      <c r="G435" s="9"/>
    </row>
    <row r="436" spans="5:7" ht="12.5" x14ac:dyDescent="0.25">
      <c r="E436" s="9"/>
      <c r="G436" s="9"/>
    </row>
    <row r="437" spans="5:7" ht="12.5" x14ac:dyDescent="0.25">
      <c r="E437" s="9"/>
      <c r="G437" s="9"/>
    </row>
    <row r="438" spans="5:7" ht="12.5" x14ac:dyDescent="0.25">
      <c r="E438" s="9"/>
      <c r="G438" s="9"/>
    </row>
    <row r="439" spans="5:7" ht="12.5" x14ac:dyDescent="0.25">
      <c r="E439" s="9"/>
      <c r="G439" s="9"/>
    </row>
    <row r="440" spans="5:7" ht="12.5" x14ac:dyDescent="0.25">
      <c r="E440" s="9"/>
      <c r="G440" s="9"/>
    </row>
    <row r="441" spans="5:7" ht="12.5" x14ac:dyDescent="0.25">
      <c r="E441" s="9"/>
      <c r="G441" s="9"/>
    </row>
    <row r="442" spans="5:7" ht="12.5" x14ac:dyDescent="0.25">
      <c r="E442" s="9"/>
      <c r="G442" s="9"/>
    </row>
    <row r="443" spans="5:7" ht="12.5" x14ac:dyDescent="0.25">
      <c r="E443" s="9"/>
      <c r="G443" s="9"/>
    </row>
    <row r="444" spans="5:7" ht="12.5" x14ac:dyDescent="0.25">
      <c r="E444" s="9"/>
      <c r="G444" s="9"/>
    </row>
    <row r="445" spans="5:7" ht="12.5" x14ac:dyDescent="0.25">
      <c r="E445" s="9"/>
      <c r="G445" s="9"/>
    </row>
    <row r="446" spans="5:7" ht="12.5" x14ac:dyDescent="0.25">
      <c r="E446" s="9"/>
      <c r="G446" s="9"/>
    </row>
    <row r="447" spans="5:7" ht="12.5" x14ac:dyDescent="0.25">
      <c r="E447" s="9"/>
      <c r="G447" s="9"/>
    </row>
    <row r="448" spans="5:7" ht="12.5" x14ac:dyDescent="0.25">
      <c r="E448" s="9"/>
      <c r="G448" s="9"/>
    </row>
    <row r="449" spans="5:7" ht="12.5" x14ac:dyDescent="0.25">
      <c r="E449" s="9"/>
      <c r="G449" s="9"/>
    </row>
    <row r="450" spans="5:7" ht="12.5" x14ac:dyDescent="0.25">
      <c r="E450" s="9"/>
      <c r="G450" s="9"/>
    </row>
    <row r="451" spans="5:7" ht="12.5" x14ac:dyDescent="0.25">
      <c r="E451" s="9"/>
      <c r="G451" s="9"/>
    </row>
    <row r="452" spans="5:7" ht="12.5" x14ac:dyDescent="0.25">
      <c r="E452" s="9"/>
      <c r="G452" s="9"/>
    </row>
    <row r="453" spans="5:7" ht="12.5" x14ac:dyDescent="0.25">
      <c r="E453" s="9"/>
      <c r="G453" s="9"/>
    </row>
    <row r="454" spans="5:7" ht="12.5" x14ac:dyDescent="0.25">
      <c r="E454" s="9"/>
      <c r="G454" s="9"/>
    </row>
    <row r="455" spans="5:7" ht="12.5" x14ac:dyDescent="0.25">
      <c r="E455" s="9"/>
      <c r="G455" s="9"/>
    </row>
    <row r="456" spans="5:7" ht="12.5" x14ac:dyDescent="0.25">
      <c r="E456" s="9"/>
      <c r="G456" s="9"/>
    </row>
    <row r="457" spans="5:7" ht="12.5" x14ac:dyDescent="0.25">
      <c r="E457" s="9"/>
      <c r="G457" s="9"/>
    </row>
    <row r="458" spans="5:7" ht="12.5" x14ac:dyDescent="0.25">
      <c r="E458" s="9"/>
      <c r="G458" s="9"/>
    </row>
    <row r="459" spans="5:7" ht="12.5" x14ac:dyDescent="0.25">
      <c r="E459" s="9"/>
      <c r="G459" s="9"/>
    </row>
    <row r="460" spans="5:7" ht="12.5" x14ac:dyDescent="0.25">
      <c r="E460" s="9"/>
      <c r="G460" s="9"/>
    </row>
    <row r="461" spans="5:7" ht="12.5" x14ac:dyDescent="0.25">
      <c r="E461" s="9"/>
      <c r="G461" s="9"/>
    </row>
    <row r="462" spans="5:7" ht="12.5" x14ac:dyDescent="0.25">
      <c r="E462" s="9"/>
      <c r="G462" s="9"/>
    </row>
    <row r="463" spans="5:7" ht="12.5" x14ac:dyDescent="0.25">
      <c r="E463" s="9"/>
      <c r="G463" s="9"/>
    </row>
    <row r="464" spans="5:7" ht="12.5" x14ac:dyDescent="0.25">
      <c r="E464" s="9"/>
      <c r="G464" s="9"/>
    </row>
    <row r="465" spans="5:7" ht="12.5" x14ac:dyDescent="0.25">
      <c r="E465" s="9"/>
      <c r="G465" s="9"/>
    </row>
    <row r="466" spans="5:7" ht="12.5" x14ac:dyDescent="0.25">
      <c r="E466" s="9"/>
      <c r="G466" s="9"/>
    </row>
    <row r="467" spans="5:7" ht="12.5" x14ac:dyDescent="0.25">
      <c r="E467" s="9"/>
      <c r="G467" s="9"/>
    </row>
    <row r="468" spans="5:7" ht="12.5" x14ac:dyDescent="0.25">
      <c r="E468" s="9"/>
      <c r="G468" s="9"/>
    </row>
    <row r="469" spans="5:7" ht="12.5" x14ac:dyDescent="0.25">
      <c r="E469" s="9"/>
      <c r="G469" s="9"/>
    </row>
    <row r="470" spans="5:7" ht="12.5" x14ac:dyDescent="0.25">
      <c r="E470" s="9"/>
      <c r="G470" s="9"/>
    </row>
    <row r="471" spans="5:7" ht="12.5" x14ac:dyDescent="0.25">
      <c r="E471" s="9"/>
      <c r="G471" s="9"/>
    </row>
    <row r="472" spans="5:7" ht="12.5" x14ac:dyDescent="0.25">
      <c r="E472" s="9"/>
      <c r="G472" s="9"/>
    </row>
    <row r="473" spans="5:7" ht="12.5" x14ac:dyDescent="0.25">
      <c r="E473" s="9"/>
      <c r="G473" s="9"/>
    </row>
    <row r="474" spans="5:7" ht="12.5" x14ac:dyDescent="0.25">
      <c r="E474" s="9"/>
      <c r="G474" s="9"/>
    </row>
    <row r="475" spans="5:7" ht="12.5" x14ac:dyDescent="0.25">
      <c r="E475" s="9"/>
      <c r="G475" s="9"/>
    </row>
    <row r="476" spans="5:7" ht="12.5" x14ac:dyDescent="0.25">
      <c r="E476" s="9"/>
      <c r="G476" s="9"/>
    </row>
    <row r="477" spans="5:7" ht="12.5" x14ac:dyDescent="0.25">
      <c r="E477" s="9"/>
      <c r="G477" s="9"/>
    </row>
    <row r="478" spans="5:7" ht="12.5" x14ac:dyDescent="0.25">
      <c r="E478" s="9"/>
      <c r="G478" s="9"/>
    </row>
    <row r="479" spans="5:7" ht="12.5" x14ac:dyDescent="0.25">
      <c r="E479" s="9"/>
      <c r="G479" s="9"/>
    </row>
    <row r="480" spans="5:7" ht="12.5" x14ac:dyDescent="0.25">
      <c r="E480" s="9"/>
      <c r="G480" s="9"/>
    </row>
    <row r="481" spans="5:7" ht="12.5" x14ac:dyDescent="0.25">
      <c r="E481" s="9"/>
      <c r="G481" s="9"/>
    </row>
    <row r="482" spans="5:7" ht="12.5" x14ac:dyDescent="0.25">
      <c r="E482" s="9"/>
      <c r="G482" s="9"/>
    </row>
    <row r="483" spans="5:7" ht="12.5" x14ac:dyDescent="0.25">
      <c r="E483" s="9"/>
      <c r="G483" s="9"/>
    </row>
    <row r="484" spans="5:7" ht="12.5" x14ac:dyDescent="0.25">
      <c r="E484" s="9"/>
      <c r="G484" s="9"/>
    </row>
    <row r="485" spans="5:7" ht="12.5" x14ac:dyDescent="0.25">
      <c r="E485" s="9"/>
      <c r="G485" s="9"/>
    </row>
    <row r="486" spans="5:7" ht="12.5" x14ac:dyDescent="0.25">
      <c r="E486" s="9"/>
      <c r="G486" s="9"/>
    </row>
    <row r="487" spans="5:7" ht="12.5" x14ac:dyDescent="0.25">
      <c r="E487" s="9"/>
      <c r="G487" s="9"/>
    </row>
    <row r="488" spans="5:7" ht="12.5" x14ac:dyDescent="0.25">
      <c r="E488" s="9"/>
      <c r="G488" s="9"/>
    </row>
    <row r="489" spans="5:7" ht="12.5" x14ac:dyDescent="0.25">
      <c r="E489" s="9"/>
      <c r="G489" s="9"/>
    </row>
    <row r="490" spans="5:7" ht="12.5" x14ac:dyDescent="0.25">
      <c r="E490" s="9"/>
      <c r="G490" s="9"/>
    </row>
    <row r="491" spans="5:7" ht="12.5" x14ac:dyDescent="0.25">
      <c r="E491" s="9"/>
      <c r="G491" s="9"/>
    </row>
    <row r="492" spans="5:7" ht="12.5" x14ac:dyDescent="0.25">
      <c r="E492" s="9"/>
      <c r="G492" s="9"/>
    </row>
    <row r="493" spans="5:7" ht="12.5" x14ac:dyDescent="0.25">
      <c r="E493" s="9"/>
      <c r="G493" s="9"/>
    </row>
    <row r="494" spans="5:7" ht="12.5" x14ac:dyDescent="0.25">
      <c r="E494" s="9"/>
      <c r="G494" s="9"/>
    </row>
    <row r="495" spans="5:7" ht="12.5" x14ac:dyDescent="0.25">
      <c r="E495" s="9"/>
      <c r="G495" s="9"/>
    </row>
    <row r="496" spans="5:7" ht="12.5" x14ac:dyDescent="0.25">
      <c r="E496" s="9"/>
      <c r="G496" s="9"/>
    </row>
    <row r="497" spans="5:7" ht="12.5" x14ac:dyDescent="0.25">
      <c r="E497" s="9"/>
      <c r="G497" s="9"/>
    </row>
    <row r="498" spans="5:7" ht="12.5" x14ac:dyDescent="0.25">
      <c r="E498" s="9"/>
      <c r="G498" s="9"/>
    </row>
    <row r="499" spans="5:7" ht="12.5" x14ac:dyDescent="0.25">
      <c r="E499" s="9"/>
      <c r="G499" s="9"/>
    </row>
    <row r="500" spans="5:7" ht="12.5" x14ac:dyDescent="0.25">
      <c r="E500" s="9"/>
      <c r="G500" s="9"/>
    </row>
    <row r="501" spans="5:7" ht="12.5" x14ac:dyDescent="0.25">
      <c r="E501" s="9"/>
      <c r="G501" s="9"/>
    </row>
    <row r="502" spans="5:7" ht="12.5" x14ac:dyDescent="0.25">
      <c r="E502" s="9"/>
      <c r="G502" s="9"/>
    </row>
    <row r="503" spans="5:7" ht="12.5" x14ac:dyDescent="0.25">
      <c r="E503" s="9"/>
      <c r="G503" s="9"/>
    </row>
    <row r="504" spans="5:7" ht="12.5" x14ac:dyDescent="0.25">
      <c r="E504" s="9"/>
      <c r="G504" s="9"/>
    </row>
    <row r="505" spans="5:7" ht="12.5" x14ac:dyDescent="0.25">
      <c r="E505" s="9"/>
      <c r="G505" s="9"/>
    </row>
    <row r="506" spans="5:7" ht="12.5" x14ac:dyDescent="0.25">
      <c r="E506" s="9"/>
      <c r="G506" s="9"/>
    </row>
    <row r="507" spans="5:7" ht="12.5" x14ac:dyDescent="0.25">
      <c r="E507" s="9"/>
      <c r="G507" s="9"/>
    </row>
    <row r="508" spans="5:7" ht="12.5" x14ac:dyDescent="0.25">
      <c r="E508" s="9"/>
      <c r="G508" s="9"/>
    </row>
    <row r="509" spans="5:7" ht="12.5" x14ac:dyDescent="0.25">
      <c r="E509" s="9"/>
      <c r="G509" s="9"/>
    </row>
    <row r="510" spans="5:7" ht="12.5" x14ac:dyDescent="0.25">
      <c r="E510" s="9"/>
      <c r="G510" s="9"/>
    </row>
    <row r="511" spans="5:7" ht="12.5" x14ac:dyDescent="0.25">
      <c r="E511" s="9"/>
      <c r="G511" s="9"/>
    </row>
    <row r="512" spans="5:7" ht="12.5" x14ac:dyDescent="0.25">
      <c r="E512" s="9"/>
      <c r="G512" s="9"/>
    </row>
    <row r="513" spans="5:7" ht="12.5" x14ac:dyDescent="0.25">
      <c r="E513" s="9"/>
      <c r="G513" s="9"/>
    </row>
    <row r="514" spans="5:7" ht="12.5" x14ac:dyDescent="0.25">
      <c r="E514" s="9"/>
      <c r="G514" s="9"/>
    </row>
    <row r="515" spans="5:7" ht="12.5" x14ac:dyDescent="0.25">
      <c r="E515" s="9"/>
      <c r="G515" s="9"/>
    </row>
    <row r="516" spans="5:7" ht="12.5" x14ac:dyDescent="0.25">
      <c r="E516" s="9"/>
      <c r="G516" s="9"/>
    </row>
    <row r="517" spans="5:7" ht="12.5" x14ac:dyDescent="0.25">
      <c r="E517" s="9"/>
      <c r="G517" s="9"/>
    </row>
    <row r="518" spans="5:7" ht="12.5" x14ac:dyDescent="0.25">
      <c r="E518" s="9"/>
      <c r="G518" s="9"/>
    </row>
    <row r="519" spans="5:7" ht="12.5" x14ac:dyDescent="0.25">
      <c r="E519" s="9"/>
      <c r="G519" s="9"/>
    </row>
    <row r="520" spans="5:7" ht="12.5" x14ac:dyDescent="0.25">
      <c r="E520" s="9"/>
      <c r="G520" s="9"/>
    </row>
    <row r="521" spans="5:7" ht="12.5" x14ac:dyDescent="0.25">
      <c r="E521" s="9"/>
      <c r="G521" s="9"/>
    </row>
    <row r="522" spans="5:7" ht="12.5" x14ac:dyDescent="0.25">
      <c r="E522" s="9"/>
      <c r="G522" s="9"/>
    </row>
    <row r="523" spans="5:7" ht="12.5" x14ac:dyDescent="0.25">
      <c r="E523" s="9"/>
      <c r="G523" s="9"/>
    </row>
    <row r="524" spans="5:7" ht="12.5" x14ac:dyDescent="0.25">
      <c r="E524" s="9"/>
      <c r="G524" s="9"/>
    </row>
    <row r="525" spans="5:7" ht="12.5" x14ac:dyDescent="0.25">
      <c r="E525" s="9"/>
      <c r="G525" s="9"/>
    </row>
    <row r="526" spans="5:7" ht="12.5" x14ac:dyDescent="0.25">
      <c r="E526" s="9"/>
      <c r="G526" s="9"/>
    </row>
    <row r="527" spans="5:7" ht="12.5" x14ac:dyDescent="0.25">
      <c r="E527" s="9"/>
      <c r="G527" s="9"/>
    </row>
    <row r="528" spans="5:7" ht="12.5" x14ac:dyDescent="0.25">
      <c r="E528" s="9"/>
      <c r="G528" s="9"/>
    </row>
    <row r="529" spans="5:7" ht="12.5" x14ac:dyDescent="0.25">
      <c r="E529" s="9"/>
      <c r="G529" s="9"/>
    </row>
    <row r="530" spans="5:7" ht="12.5" x14ac:dyDescent="0.25">
      <c r="E530" s="9"/>
      <c r="G530" s="9"/>
    </row>
    <row r="531" spans="5:7" ht="12.5" x14ac:dyDescent="0.25">
      <c r="E531" s="9"/>
      <c r="G531" s="9"/>
    </row>
    <row r="532" spans="5:7" ht="12.5" x14ac:dyDescent="0.25">
      <c r="E532" s="9"/>
      <c r="G532" s="9"/>
    </row>
    <row r="533" spans="5:7" ht="12.5" x14ac:dyDescent="0.25">
      <c r="E533" s="9"/>
      <c r="G533" s="9"/>
    </row>
    <row r="534" spans="5:7" ht="12.5" x14ac:dyDescent="0.25">
      <c r="E534" s="9"/>
      <c r="G534" s="9"/>
    </row>
    <row r="535" spans="5:7" ht="12.5" x14ac:dyDescent="0.25">
      <c r="E535" s="9"/>
      <c r="G535" s="9"/>
    </row>
    <row r="536" spans="5:7" ht="12.5" x14ac:dyDescent="0.25">
      <c r="E536" s="9"/>
      <c r="G536" s="9"/>
    </row>
    <row r="537" spans="5:7" ht="12.5" x14ac:dyDescent="0.25">
      <c r="E537" s="9"/>
      <c r="G537" s="9"/>
    </row>
    <row r="538" spans="5:7" ht="12.5" x14ac:dyDescent="0.25">
      <c r="E538" s="9"/>
      <c r="G538" s="9"/>
    </row>
    <row r="539" spans="5:7" ht="12.5" x14ac:dyDescent="0.25">
      <c r="E539" s="9"/>
      <c r="G539" s="9"/>
    </row>
    <row r="540" spans="5:7" ht="12.5" x14ac:dyDescent="0.25">
      <c r="E540" s="9"/>
      <c r="G540" s="9"/>
    </row>
    <row r="541" spans="5:7" ht="12.5" x14ac:dyDescent="0.25">
      <c r="E541" s="9"/>
      <c r="G541" s="9"/>
    </row>
    <row r="542" spans="5:7" ht="12.5" x14ac:dyDescent="0.25">
      <c r="E542" s="9"/>
      <c r="G542" s="9"/>
    </row>
    <row r="543" spans="5:7" ht="12.5" x14ac:dyDescent="0.25">
      <c r="E543" s="9"/>
      <c r="G543" s="9"/>
    </row>
    <row r="544" spans="5:7" ht="12.5" x14ac:dyDescent="0.25">
      <c r="E544" s="9"/>
      <c r="G544" s="9"/>
    </row>
    <row r="545" spans="5:7" ht="12.5" x14ac:dyDescent="0.25">
      <c r="E545" s="9"/>
      <c r="G545" s="9"/>
    </row>
    <row r="546" spans="5:7" ht="12.5" x14ac:dyDescent="0.25">
      <c r="E546" s="9"/>
      <c r="G546" s="9"/>
    </row>
    <row r="547" spans="5:7" ht="12.5" x14ac:dyDescent="0.25">
      <c r="E547" s="9"/>
      <c r="G547" s="9"/>
    </row>
    <row r="548" spans="5:7" ht="12.5" x14ac:dyDescent="0.25">
      <c r="E548" s="9"/>
      <c r="G548" s="9"/>
    </row>
    <row r="549" spans="5:7" ht="12.5" x14ac:dyDescent="0.25">
      <c r="E549" s="9"/>
      <c r="G549" s="9"/>
    </row>
    <row r="550" spans="5:7" ht="12.5" x14ac:dyDescent="0.25">
      <c r="E550" s="9"/>
      <c r="G550" s="9"/>
    </row>
    <row r="551" spans="5:7" ht="12.5" x14ac:dyDescent="0.25">
      <c r="E551" s="9"/>
      <c r="G551" s="9"/>
    </row>
    <row r="552" spans="5:7" ht="12.5" x14ac:dyDescent="0.25">
      <c r="E552" s="9"/>
      <c r="G552" s="9"/>
    </row>
    <row r="553" spans="5:7" ht="12.5" x14ac:dyDescent="0.25">
      <c r="E553" s="9"/>
      <c r="G553" s="9"/>
    </row>
    <row r="554" spans="5:7" ht="12.5" x14ac:dyDescent="0.25">
      <c r="E554" s="9"/>
      <c r="G554" s="9"/>
    </row>
    <row r="555" spans="5:7" ht="12.5" x14ac:dyDescent="0.25">
      <c r="E555" s="9"/>
      <c r="G555" s="9"/>
    </row>
    <row r="556" spans="5:7" ht="12.5" x14ac:dyDescent="0.25">
      <c r="E556" s="9"/>
      <c r="G556" s="9"/>
    </row>
    <row r="557" spans="5:7" ht="12.5" x14ac:dyDescent="0.25">
      <c r="E557" s="9"/>
      <c r="G557" s="9"/>
    </row>
    <row r="558" spans="5:7" ht="12.5" x14ac:dyDescent="0.25">
      <c r="E558" s="9"/>
      <c r="G558" s="9"/>
    </row>
    <row r="559" spans="5:7" ht="12.5" x14ac:dyDescent="0.25">
      <c r="E559" s="9"/>
      <c r="G559" s="9"/>
    </row>
    <row r="560" spans="5:7" ht="12.5" x14ac:dyDescent="0.25">
      <c r="E560" s="9"/>
      <c r="G560" s="9"/>
    </row>
    <row r="561" spans="5:7" ht="12.5" x14ac:dyDescent="0.25">
      <c r="E561" s="9"/>
      <c r="G561" s="9"/>
    </row>
    <row r="562" spans="5:7" ht="12.5" x14ac:dyDescent="0.25">
      <c r="E562" s="9"/>
      <c r="G562" s="9"/>
    </row>
    <row r="563" spans="5:7" ht="12.5" x14ac:dyDescent="0.25">
      <c r="E563" s="9"/>
      <c r="G563" s="9"/>
    </row>
    <row r="564" spans="5:7" ht="12.5" x14ac:dyDescent="0.25">
      <c r="E564" s="9"/>
      <c r="G564" s="9"/>
    </row>
    <row r="565" spans="5:7" ht="12.5" x14ac:dyDescent="0.25">
      <c r="E565" s="9"/>
      <c r="G565" s="9"/>
    </row>
    <row r="566" spans="5:7" ht="12.5" x14ac:dyDescent="0.25">
      <c r="E566" s="9"/>
      <c r="G566" s="9"/>
    </row>
    <row r="567" spans="5:7" ht="12.5" x14ac:dyDescent="0.25">
      <c r="E567" s="9"/>
      <c r="G567" s="9"/>
    </row>
    <row r="568" spans="5:7" ht="12.5" x14ac:dyDescent="0.25">
      <c r="E568" s="9"/>
      <c r="G568" s="9"/>
    </row>
    <row r="569" spans="5:7" ht="12.5" x14ac:dyDescent="0.25">
      <c r="E569" s="9"/>
      <c r="G569" s="9"/>
    </row>
    <row r="570" spans="5:7" ht="12.5" x14ac:dyDescent="0.25">
      <c r="E570" s="9"/>
      <c r="G570" s="9"/>
    </row>
    <row r="571" spans="5:7" ht="12.5" x14ac:dyDescent="0.25">
      <c r="E571" s="9"/>
      <c r="G571" s="9"/>
    </row>
    <row r="572" spans="5:7" ht="12.5" x14ac:dyDescent="0.25">
      <c r="E572" s="9"/>
      <c r="G572" s="9"/>
    </row>
    <row r="573" spans="5:7" ht="12.5" x14ac:dyDescent="0.25">
      <c r="E573" s="9"/>
      <c r="G573" s="9"/>
    </row>
    <row r="574" spans="5:7" ht="12.5" x14ac:dyDescent="0.25">
      <c r="E574" s="9"/>
      <c r="G574" s="9"/>
    </row>
    <row r="575" spans="5:7" ht="12.5" x14ac:dyDescent="0.25">
      <c r="E575" s="9"/>
      <c r="G575" s="9"/>
    </row>
    <row r="576" spans="5:7" ht="12.5" x14ac:dyDescent="0.25">
      <c r="E576" s="9"/>
      <c r="G576" s="9"/>
    </row>
    <row r="577" spans="5:7" ht="12.5" x14ac:dyDescent="0.25">
      <c r="E577" s="9"/>
      <c r="G577" s="9"/>
    </row>
    <row r="578" spans="5:7" ht="12.5" x14ac:dyDescent="0.25">
      <c r="E578" s="9"/>
      <c r="G578" s="9"/>
    </row>
    <row r="579" spans="5:7" ht="12.5" x14ac:dyDescent="0.25">
      <c r="E579" s="9"/>
      <c r="G579" s="9"/>
    </row>
    <row r="580" spans="5:7" ht="12.5" x14ac:dyDescent="0.25">
      <c r="E580" s="9"/>
      <c r="G580" s="9"/>
    </row>
    <row r="581" spans="5:7" ht="12.5" x14ac:dyDescent="0.25">
      <c r="E581" s="9"/>
      <c r="G581" s="9"/>
    </row>
    <row r="582" spans="5:7" ht="12.5" x14ac:dyDescent="0.25">
      <c r="E582" s="9"/>
      <c r="G582" s="9"/>
    </row>
    <row r="583" spans="5:7" ht="12.5" x14ac:dyDescent="0.25">
      <c r="E583" s="9"/>
      <c r="G583" s="9"/>
    </row>
    <row r="584" spans="5:7" ht="12.5" x14ac:dyDescent="0.25">
      <c r="E584" s="9"/>
      <c r="G584" s="9"/>
    </row>
    <row r="585" spans="5:7" ht="12.5" x14ac:dyDescent="0.25">
      <c r="E585" s="9"/>
      <c r="G585" s="9"/>
    </row>
    <row r="586" spans="5:7" ht="12.5" x14ac:dyDescent="0.25">
      <c r="E586" s="9"/>
      <c r="G586" s="9"/>
    </row>
    <row r="587" spans="5:7" ht="12.5" x14ac:dyDescent="0.25">
      <c r="E587" s="9"/>
      <c r="G587" s="9"/>
    </row>
    <row r="588" spans="5:7" ht="12.5" x14ac:dyDescent="0.25">
      <c r="E588" s="9"/>
      <c r="G588" s="9"/>
    </row>
    <row r="589" spans="5:7" ht="12.5" x14ac:dyDescent="0.25">
      <c r="E589" s="9"/>
      <c r="G589" s="9"/>
    </row>
    <row r="590" spans="5:7" ht="12.5" x14ac:dyDescent="0.25">
      <c r="E590" s="9"/>
      <c r="G590" s="9"/>
    </row>
    <row r="591" spans="5:7" ht="12.5" x14ac:dyDescent="0.25">
      <c r="E591" s="9"/>
      <c r="G591" s="9"/>
    </row>
    <row r="592" spans="5:7" ht="12.5" x14ac:dyDescent="0.25">
      <c r="E592" s="9"/>
      <c r="G592" s="9"/>
    </row>
    <row r="593" spans="5:7" ht="12.5" x14ac:dyDescent="0.25">
      <c r="E593" s="9"/>
      <c r="G593" s="9"/>
    </row>
    <row r="594" spans="5:7" ht="12.5" x14ac:dyDescent="0.25">
      <c r="E594" s="9"/>
      <c r="G594" s="9"/>
    </row>
    <row r="595" spans="5:7" ht="12.5" x14ac:dyDescent="0.25">
      <c r="E595" s="9"/>
      <c r="G595" s="9"/>
    </row>
    <row r="596" spans="5:7" ht="12.5" x14ac:dyDescent="0.25">
      <c r="E596" s="9"/>
      <c r="G596" s="9"/>
    </row>
    <row r="597" spans="5:7" ht="12.5" x14ac:dyDescent="0.25">
      <c r="E597" s="9"/>
      <c r="G597" s="9"/>
    </row>
    <row r="598" spans="5:7" ht="12.5" x14ac:dyDescent="0.25">
      <c r="E598" s="9"/>
      <c r="G598" s="9"/>
    </row>
    <row r="599" spans="5:7" ht="12.5" x14ac:dyDescent="0.25">
      <c r="E599" s="9"/>
      <c r="G599" s="9"/>
    </row>
    <row r="600" spans="5:7" ht="12.5" x14ac:dyDescent="0.25">
      <c r="E600" s="9"/>
      <c r="G600" s="9"/>
    </row>
    <row r="601" spans="5:7" ht="12.5" x14ac:dyDescent="0.25">
      <c r="E601" s="9"/>
      <c r="G601" s="9"/>
    </row>
    <row r="602" spans="5:7" ht="12.5" x14ac:dyDescent="0.25">
      <c r="E602" s="9"/>
      <c r="G602" s="9"/>
    </row>
    <row r="603" spans="5:7" ht="12.5" x14ac:dyDescent="0.25">
      <c r="E603" s="9"/>
      <c r="G603" s="9"/>
    </row>
    <row r="604" spans="5:7" ht="12.5" x14ac:dyDescent="0.25">
      <c r="E604" s="9"/>
      <c r="G604" s="9"/>
    </row>
    <row r="605" spans="5:7" ht="12.5" x14ac:dyDescent="0.25">
      <c r="E605" s="9"/>
      <c r="G605" s="9"/>
    </row>
    <row r="606" spans="5:7" ht="12.5" x14ac:dyDescent="0.25">
      <c r="E606" s="9"/>
      <c r="G606" s="9"/>
    </row>
    <row r="607" spans="5:7" ht="12.5" x14ac:dyDescent="0.25">
      <c r="E607" s="9"/>
      <c r="G607" s="9"/>
    </row>
    <row r="608" spans="5:7" ht="12.5" x14ac:dyDescent="0.25">
      <c r="E608" s="9"/>
      <c r="G608" s="9"/>
    </row>
    <row r="609" spans="5:7" ht="12.5" x14ac:dyDescent="0.25">
      <c r="E609" s="9"/>
      <c r="G609" s="9"/>
    </row>
    <row r="610" spans="5:7" ht="12.5" x14ac:dyDescent="0.25">
      <c r="E610" s="9"/>
      <c r="G610" s="9"/>
    </row>
    <row r="611" spans="5:7" ht="12.5" x14ac:dyDescent="0.25">
      <c r="E611" s="9"/>
      <c r="G611" s="9"/>
    </row>
    <row r="612" spans="5:7" ht="12.5" x14ac:dyDescent="0.25">
      <c r="E612" s="9"/>
      <c r="G612" s="9"/>
    </row>
    <row r="613" spans="5:7" ht="12.5" x14ac:dyDescent="0.25">
      <c r="E613" s="9"/>
      <c r="G613" s="9"/>
    </row>
    <row r="614" spans="5:7" ht="12.5" x14ac:dyDescent="0.25">
      <c r="E614" s="9"/>
      <c r="G614" s="9"/>
    </row>
    <row r="615" spans="5:7" ht="12.5" x14ac:dyDescent="0.25">
      <c r="E615" s="9"/>
      <c r="G615" s="9"/>
    </row>
    <row r="616" spans="5:7" ht="12.5" x14ac:dyDescent="0.25">
      <c r="E616" s="9"/>
      <c r="G616" s="9"/>
    </row>
    <row r="617" spans="5:7" ht="12.5" x14ac:dyDescent="0.25">
      <c r="E617" s="9"/>
      <c r="G617" s="9"/>
    </row>
    <row r="618" spans="5:7" ht="12.5" x14ac:dyDescent="0.25">
      <c r="E618" s="9"/>
      <c r="G618" s="9"/>
    </row>
    <row r="619" spans="5:7" ht="12.5" x14ac:dyDescent="0.25">
      <c r="E619" s="9"/>
      <c r="G619" s="9"/>
    </row>
    <row r="620" spans="5:7" ht="12.5" x14ac:dyDescent="0.25">
      <c r="E620" s="9"/>
      <c r="G620" s="9"/>
    </row>
    <row r="621" spans="5:7" ht="12.5" x14ac:dyDescent="0.25">
      <c r="E621" s="9"/>
      <c r="G621" s="9"/>
    </row>
    <row r="622" spans="5:7" ht="12.5" x14ac:dyDescent="0.25">
      <c r="E622" s="9"/>
      <c r="G622" s="9"/>
    </row>
    <row r="623" spans="5:7" ht="12.5" x14ac:dyDescent="0.25">
      <c r="E623" s="9"/>
      <c r="G623" s="9"/>
    </row>
    <row r="624" spans="5:7" ht="12.5" x14ac:dyDescent="0.25">
      <c r="E624" s="9"/>
      <c r="G624" s="9"/>
    </row>
    <row r="625" spans="5:7" ht="12.5" x14ac:dyDescent="0.25">
      <c r="E625" s="9"/>
      <c r="G625" s="9"/>
    </row>
    <row r="626" spans="5:7" ht="12.5" x14ac:dyDescent="0.25">
      <c r="E626" s="9"/>
      <c r="G626" s="9"/>
    </row>
    <row r="627" spans="5:7" ht="12.5" x14ac:dyDescent="0.25">
      <c r="E627" s="9"/>
      <c r="G627" s="9"/>
    </row>
    <row r="628" spans="5:7" ht="12.5" x14ac:dyDescent="0.25">
      <c r="E628" s="9"/>
      <c r="G628" s="9"/>
    </row>
    <row r="629" spans="5:7" ht="12.5" x14ac:dyDescent="0.25">
      <c r="E629" s="9"/>
      <c r="G629" s="9"/>
    </row>
    <row r="630" spans="5:7" ht="12.5" x14ac:dyDescent="0.25">
      <c r="E630" s="9"/>
      <c r="G630" s="9"/>
    </row>
    <row r="631" spans="5:7" ht="12.5" x14ac:dyDescent="0.25">
      <c r="E631" s="9"/>
      <c r="G631" s="9"/>
    </row>
    <row r="632" spans="5:7" ht="12.5" x14ac:dyDescent="0.25">
      <c r="E632" s="9"/>
      <c r="G632" s="9"/>
    </row>
    <row r="633" spans="5:7" ht="12.5" x14ac:dyDescent="0.25">
      <c r="E633" s="9"/>
      <c r="G633" s="9"/>
    </row>
    <row r="634" spans="5:7" ht="12.5" x14ac:dyDescent="0.25">
      <c r="E634" s="9"/>
      <c r="G634" s="9"/>
    </row>
    <row r="635" spans="5:7" ht="12.5" x14ac:dyDescent="0.25">
      <c r="E635" s="9"/>
      <c r="G635" s="9"/>
    </row>
    <row r="636" spans="5:7" ht="12.5" x14ac:dyDescent="0.25">
      <c r="E636" s="9"/>
      <c r="G636" s="9"/>
    </row>
    <row r="637" spans="5:7" ht="12.5" x14ac:dyDescent="0.25">
      <c r="E637" s="9"/>
      <c r="G637" s="9"/>
    </row>
    <row r="638" spans="5:7" ht="12.5" x14ac:dyDescent="0.25">
      <c r="E638" s="9"/>
      <c r="G638" s="9"/>
    </row>
    <row r="639" spans="5:7" ht="12.5" x14ac:dyDescent="0.25">
      <c r="E639" s="9"/>
      <c r="G639" s="9"/>
    </row>
    <row r="640" spans="5:7" ht="12.5" x14ac:dyDescent="0.25">
      <c r="E640" s="9"/>
      <c r="G640" s="9"/>
    </row>
    <row r="641" spans="5:7" ht="12.5" x14ac:dyDescent="0.25">
      <c r="E641" s="9"/>
      <c r="G641" s="9"/>
    </row>
    <row r="642" spans="5:7" ht="12.5" x14ac:dyDescent="0.25">
      <c r="E642" s="9"/>
      <c r="G642" s="9"/>
    </row>
    <row r="643" spans="5:7" ht="12.5" x14ac:dyDescent="0.25">
      <c r="E643" s="9"/>
      <c r="G643" s="9"/>
    </row>
    <row r="644" spans="5:7" ht="12.5" x14ac:dyDescent="0.25">
      <c r="E644" s="9"/>
      <c r="G644" s="9"/>
    </row>
    <row r="645" spans="5:7" ht="12.5" x14ac:dyDescent="0.25">
      <c r="E645" s="9"/>
      <c r="G645" s="9"/>
    </row>
    <row r="646" spans="5:7" ht="12.5" x14ac:dyDescent="0.25">
      <c r="E646" s="9"/>
      <c r="G646" s="9"/>
    </row>
    <row r="647" spans="5:7" ht="12.5" x14ac:dyDescent="0.25">
      <c r="E647" s="9"/>
      <c r="G647" s="9"/>
    </row>
    <row r="648" spans="5:7" ht="12.5" x14ac:dyDescent="0.25">
      <c r="E648" s="9"/>
      <c r="G648" s="9"/>
    </row>
    <row r="649" spans="5:7" ht="12.5" x14ac:dyDescent="0.25">
      <c r="E649" s="9"/>
      <c r="G649" s="9"/>
    </row>
    <row r="650" spans="5:7" ht="12.5" x14ac:dyDescent="0.25">
      <c r="E650" s="9"/>
      <c r="G650" s="9"/>
    </row>
    <row r="651" spans="5:7" ht="12.5" x14ac:dyDescent="0.25">
      <c r="E651" s="9"/>
      <c r="G651" s="9"/>
    </row>
    <row r="652" spans="5:7" ht="12.5" x14ac:dyDescent="0.25">
      <c r="E652" s="9"/>
      <c r="G652" s="9"/>
    </row>
    <row r="653" spans="5:7" ht="12.5" x14ac:dyDescent="0.25">
      <c r="E653" s="9"/>
      <c r="G653" s="9"/>
    </row>
    <row r="654" spans="5:7" ht="12.5" x14ac:dyDescent="0.25">
      <c r="E654" s="9"/>
      <c r="G654" s="9"/>
    </row>
    <row r="655" spans="5:7" ht="12.5" x14ac:dyDescent="0.25">
      <c r="E655" s="9"/>
      <c r="G655" s="9"/>
    </row>
    <row r="656" spans="5:7" ht="12.5" x14ac:dyDescent="0.25">
      <c r="E656" s="9"/>
      <c r="G656" s="9"/>
    </row>
    <row r="657" spans="5:7" ht="12.5" x14ac:dyDescent="0.25">
      <c r="E657" s="9"/>
      <c r="G657" s="9"/>
    </row>
    <row r="658" spans="5:7" ht="12.5" x14ac:dyDescent="0.25">
      <c r="E658" s="9"/>
      <c r="G658" s="9"/>
    </row>
    <row r="659" spans="5:7" ht="12.5" x14ac:dyDescent="0.25">
      <c r="E659" s="9"/>
      <c r="G659" s="9"/>
    </row>
    <row r="660" spans="5:7" ht="12.5" x14ac:dyDescent="0.25">
      <c r="E660" s="9"/>
      <c r="G660" s="9"/>
    </row>
    <row r="661" spans="5:7" ht="12.5" x14ac:dyDescent="0.25">
      <c r="E661" s="9"/>
      <c r="G661" s="9"/>
    </row>
    <row r="662" spans="5:7" ht="12.5" x14ac:dyDescent="0.25">
      <c r="E662" s="9"/>
      <c r="G662" s="9"/>
    </row>
    <row r="663" spans="5:7" ht="12.5" x14ac:dyDescent="0.25">
      <c r="E663" s="9"/>
      <c r="G663" s="9"/>
    </row>
    <row r="664" spans="5:7" ht="12.5" x14ac:dyDescent="0.25">
      <c r="E664" s="9"/>
      <c r="G664" s="9"/>
    </row>
    <row r="665" spans="5:7" ht="12.5" x14ac:dyDescent="0.25">
      <c r="E665" s="9"/>
      <c r="G665" s="9"/>
    </row>
    <row r="666" spans="5:7" ht="12.5" x14ac:dyDescent="0.25">
      <c r="E666" s="9"/>
      <c r="G666" s="9"/>
    </row>
    <row r="667" spans="5:7" ht="12.5" x14ac:dyDescent="0.25">
      <c r="E667" s="9"/>
      <c r="G667" s="9"/>
    </row>
    <row r="668" spans="5:7" ht="12.5" x14ac:dyDescent="0.25">
      <c r="E668" s="9"/>
      <c r="G668" s="9"/>
    </row>
    <row r="669" spans="5:7" ht="12.5" x14ac:dyDescent="0.25">
      <c r="E669" s="9"/>
      <c r="G669" s="9"/>
    </row>
    <row r="670" spans="5:7" ht="12.5" x14ac:dyDescent="0.25">
      <c r="E670" s="9"/>
      <c r="G670" s="9"/>
    </row>
    <row r="671" spans="5:7" ht="12.5" x14ac:dyDescent="0.25">
      <c r="E671" s="9"/>
      <c r="G671" s="9"/>
    </row>
    <row r="672" spans="5:7" ht="12.5" x14ac:dyDescent="0.25">
      <c r="E672" s="9"/>
      <c r="G672" s="9"/>
    </row>
    <row r="673" spans="5:7" ht="12.5" x14ac:dyDescent="0.25">
      <c r="E673" s="9"/>
      <c r="G673" s="9"/>
    </row>
    <row r="674" spans="5:7" ht="12.5" x14ac:dyDescent="0.25">
      <c r="E674" s="9"/>
      <c r="G674" s="9"/>
    </row>
    <row r="675" spans="5:7" ht="12.5" x14ac:dyDescent="0.25">
      <c r="E675" s="9"/>
      <c r="G675" s="9"/>
    </row>
    <row r="676" spans="5:7" ht="12.5" x14ac:dyDescent="0.25">
      <c r="E676" s="9"/>
      <c r="G676" s="9"/>
    </row>
    <row r="677" spans="5:7" ht="12.5" x14ac:dyDescent="0.25">
      <c r="E677" s="9"/>
      <c r="G677" s="9"/>
    </row>
    <row r="678" spans="5:7" ht="12.5" x14ac:dyDescent="0.25">
      <c r="E678" s="9"/>
      <c r="G678" s="9"/>
    </row>
    <row r="679" spans="5:7" ht="12.5" x14ac:dyDescent="0.25">
      <c r="E679" s="9"/>
      <c r="G679" s="9"/>
    </row>
    <row r="680" spans="5:7" ht="12.5" x14ac:dyDescent="0.25">
      <c r="E680" s="9"/>
      <c r="G680" s="9"/>
    </row>
    <row r="681" spans="5:7" ht="12.5" x14ac:dyDescent="0.25">
      <c r="E681" s="9"/>
      <c r="G681" s="9"/>
    </row>
    <row r="682" spans="5:7" ht="12.5" x14ac:dyDescent="0.25">
      <c r="E682" s="9"/>
      <c r="G682" s="9"/>
    </row>
    <row r="683" spans="5:7" ht="12.5" x14ac:dyDescent="0.25">
      <c r="E683" s="9"/>
      <c r="G683" s="9"/>
    </row>
    <row r="684" spans="5:7" ht="12.5" x14ac:dyDescent="0.25">
      <c r="E684" s="9"/>
      <c r="G684" s="9"/>
    </row>
    <row r="685" spans="5:7" ht="12.5" x14ac:dyDescent="0.25">
      <c r="E685" s="9"/>
      <c r="G685" s="9"/>
    </row>
    <row r="686" spans="5:7" ht="12.5" x14ac:dyDescent="0.25">
      <c r="E686" s="9"/>
      <c r="G686" s="9"/>
    </row>
    <row r="687" spans="5:7" ht="12.5" x14ac:dyDescent="0.25">
      <c r="E687" s="9"/>
      <c r="G687" s="9"/>
    </row>
    <row r="688" spans="5:7" ht="12.5" x14ac:dyDescent="0.25">
      <c r="E688" s="9"/>
      <c r="G688" s="9"/>
    </row>
    <row r="689" spans="5:7" ht="12.5" x14ac:dyDescent="0.25">
      <c r="E689" s="9"/>
      <c r="G689" s="9"/>
    </row>
    <row r="690" spans="5:7" ht="12.5" x14ac:dyDescent="0.25">
      <c r="E690" s="9"/>
      <c r="G690" s="9"/>
    </row>
    <row r="691" spans="5:7" ht="12.5" x14ac:dyDescent="0.25">
      <c r="E691" s="9"/>
      <c r="G691" s="9"/>
    </row>
    <row r="692" spans="5:7" ht="12.5" x14ac:dyDescent="0.25">
      <c r="E692" s="9"/>
      <c r="G692" s="9"/>
    </row>
    <row r="693" spans="5:7" ht="12.5" x14ac:dyDescent="0.25">
      <c r="E693" s="9"/>
      <c r="G693" s="9"/>
    </row>
    <row r="694" spans="5:7" ht="12.5" x14ac:dyDescent="0.25">
      <c r="E694" s="9"/>
      <c r="G694" s="9"/>
    </row>
    <row r="695" spans="5:7" ht="12.5" x14ac:dyDescent="0.25">
      <c r="E695" s="9"/>
      <c r="G695" s="9"/>
    </row>
    <row r="696" spans="5:7" ht="12.5" x14ac:dyDescent="0.25">
      <c r="E696" s="9"/>
      <c r="G696" s="9"/>
    </row>
    <row r="697" spans="5:7" ht="12.5" x14ac:dyDescent="0.25">
      <c r="E697" s="9"/>
      <c r="G697" s="9"/>
    </row>
    <row r="698" spans="5:7" ht="12.5" x14ac:dyDescent="0.25">
      <c r="E698" s="9"/>
      <c r="G698" s="9"/>
    </row>
    <row r="699" spans="5:7" ht="12.5" x14ac:dyDescent="0.25">
      <c r="E699" s="9"/>
      <c r="G699" s="9"/>
    </row>
    <row r="700" spans="5:7" ht="12.5" x14ac:dyDescent="0.25">
      <c r="E700" s="9"/>
      <c r="G700" s="9"/>
    </row>
    <row r="701" spans="5:7" ht="12.5" x14ac:dyDescent="0.25">
      <c r="E701" s="9"/>
      <c r="G701" s="9"/>
    </row>
    <row r="702" spans="5:7" ht="12.5" x14ac:dyDescent="0.25">
      <c r="E702" s="9"/>
      <c r="G702" s="9"/>
    </row>
    <row r="703" spans="5:7" ht="12.5" x14ac:dyDescent="0.25">
      <c r="E703" s="9"/>
      <c r="G703" s="9"/>
    </row>
    <row r="704" spans="5:7" ht="12.5" x14ac:dyDescent="0.25">
      <c r="E704" s="9"/>
      <c r="G704" s="9"/>
    </row>
    <row r="705" spans="5:7" ht="12.5" x14ac:dyDescent="0.25">
      <c r="E705" s="9"/>
      <c r="G705" s="9"/>
    </row>
    <row r="706" spans="5:7" ht="12.5" x14ac:dyDescent="0.25">
      <c r="E706" s="9"/>
      <c r="G706" s="9"/>
    </row>
    <row r="707" spans="5:7" ht="12.5" x14ac:dyDescent="0.25">
      <c r="E707" s="9"/>
      <c r="G707" s="9"/>
    </row>
    <row r="708" spans="5:7" ht="12.5" x14ac:dyDescent="0.25">
      <c r="E708" s="9"/>
      <c r="G708" s="9"/>
    </row>
    <row r="709" spans="5:7" ht="12.5" x14ac:dyDescent="0.25">
      <c r="E709" s="9"/>
      <c r="G709" s="9"/>
    </row>
    <row r="710" spans="5:7" ht="12.5" x14ac:dyDescent="0.25">
      <c r="E710" s="9"/>
      <c r="G710" s="9"/>
    </row>
    <row r="711" spans="5:7" ht="12.5" x14ac:dyDescent="0.25">
      <c r="E711" s="9"/>
      <c r="G711" s="9"/>
    </row>
    <row r="712" spans="5:7" ht="12.5" x14ac:dyDescent="0.25">
      <c r="E712" s="9"/>
      <c r="G712" s="9"/>
    </row>
    <row r="713" spans="5:7" ht="12.5" x14ac:dyDescent="0.25">
      <c r="E713" s="9"/>
      <c r="G713" s="9"/>
    </row>
    <row r="714" spans="5:7" ht="12.5" x14ac:dyDescent="0.25">
      <c r="E714" s="9"/>
      <c r="G714" s="9"/>
    </row>
    <row r="715" spans="5:7" ht="12.5" x14ac:dyDescent="0.25">
      <c r="E715" s="9"/>
      <c r="G715" s="9"/>
    </row>
    <row r="716" spans="5:7" ht="12.5" x14ac:dyDescent="0.25">
      <c r="E716" s="9"/>
      <c r="G716" s="9"/>
    </row>
    <row r="717" spans="5:7" ht="12.5" x14ac:dyDescent="0.25">
      <c r="E717" s="9"/>
      <c r="G717" s="9"/>
    </row>
    <row r="718" spans="5:7" ht="12.5" x14ac:dyDescent="0.25">
      <c r="E718" s="9"/>
      <c r="G718" s="9"/>
    </row>
    <row r="719" spans="5:7" ht="12.5" x14ac:dyDescent="0.25">
      <c r="E719" s="9"/>
      <c r="G719" s="9"/>
    </row>
    <row r="720" spans="5:7" ht="12.5" x14ac:dyDescent="0.25">
      <c r="E720" s="9"/>
      <c r="G720" s="9"/>
    </row>
    <row r="721" spans="5:7" ht="12.5" x14ac:dyDescent="0.25">
      <c r="E721" s="9"/>
      <c r="G721" s="9"/>
    </row>
    <row r="722" spans="5:7" ht="12.5" x14ac:dyDescent="0.25">
      <c r="E722" s="9"/>
      <c r="G722" s="9"/>
    </row>
    <row r="723" spans="5:7" ht="12.5" x14ac:dyDescent="0.25">
      <c r="E723" s="9"/>
      <c r="G723" s="9"/>
    </row>
    <row r="724" spans="5:7" ht="12.5" x14ac:dyDescent="0.25">
      <c r="E724" s="9"/>
      <c r="G724" s="9"/>
    </row>
    <row r="725" spans="5:7" ht="12.5" x14ac:dyDescent="0.25">
      <c r="E725" s="9"/>
      <c r="G725" s="9"/>
    </row>
    <row r="726" spans="5:7" ht="12.5" x14ac:dyDescent="0.25">
      <c r="E726" s="9"/>
      <c r="G726" s="9"/>
    </row>
    <row r="727" spans="5:7" ht="12.5" x14ac:dyDescent="0.25">
      <c r="E727" s="9"/>
      <c r="G727" s="9"/>
    </row>
    <row r="728" spans="5:7" ht="12.5" x14ac:dyDescent="0.25">
      <c r="E728" s="9"/>
      <c r="G728" s="9"/>
    </row>
    <row r="729" spans="5:7" ht="12.5" x14ac:dyDescent="0.25">
      <c r="E729" s="9"/>
      <c r="G729" s="9"/>
    </row>
    <row r="730" spans="5:7" ht="12.5" x14ac:dyDescent="0.25">
      <c r="E730" s="9"/>
      <c r="G730" s="9"/>
    </row>
    <row r="731" spans="5:7" ht="12.5" x14ac:dyDescent="0.25">
      <c r="E731" s="9"/>
      <c r="G731" s="9"/>
    </row>
    <row r="732" spans="5:7" ht="12.5" x14ac:dyDescent="0.25">
      <c r="E732" s="9"/>
      <c r="G732" s="9"/>
    </row>
    <row r="733" spans="5:7" ht="12.5" x14ac:dyDescent="0.25">
      <c r="E733" s="9"/>
      <c r="G733" s="9"/>
    </row>
    <row r="734" spans="5:7" ht="12.5" x14ac:dyDescent="0.25">
      <c r="E734" s="9"/>
      <c r="G734" s="9"/>
    </row>
    <row r="735" spans="5:7" ht="12.5" x14ac:dyDescent="0.25">
      <c r="E735" s="9"/>
      <c r="G735" s="9"/>
    </row>
    <row r="736" spans="5:7" ht="12.5" x14ac:dyDescent="0.25">
      <c r="E736" s="9"/>
      <c r="G736" s="9"/>
    </row>
    <row r="737" spans="5:7" ht="12.5" x14ac:dyDescent="0.25">
      <c r="E737" s="9"/>
      <c r="G737" s="9"/>
    </row>
    <row r="738" spans="5:7" ht="12.5" x14ac:dyDescent="0.25">
      <c r="E738" s="9"/>
      <c r="G738" s="9"/>
    </row>
    <row r="739" spans="5:7" ht="12.5" x14ac:dyDescent="0.25">
      <c r="E739" s="9"/>
      <c r="G739" s="9"/>
    </row>
    <row r="740" spans="5:7" ht="12.5" x14ac:dyDescent="0.25">
      <c r="E740" s="9"/>
      <c r="G740" s="9"/>
    </row>
    <row r="741" spans="5:7" ht="12.5" x14ac:dyDescent="0.25">
      <c r="E741" s="9"/>
      <c r="G741" s="9"/>
    </row>
    <row r="742" spans="5:7" ht="12.5" x14ac:dyDescent="0.25">
      <c r="E742" s="9"/>
      <c r="G742" s="9"/>
    </row>
    <row r="743" spans="5:7" ht="12.5" x14ac:dyDescent="0.25">
      <c r="E743" s="9"/>
      <c r="G743" s="9"/>
    </row>
    <row r="744" spans="5:7" ht="12.5" x14ac:dyDescent="0.25">
      <c r="E744" s="9"/>
      <c r="G744" s="9"/>
    </row>
    <row r="745" spans="5:7" ht="12.5" x14ac:dyDescent="0.25">
      <c r="E745" s="9"/>
      <c r="G745" s="9"/>
    </row>
    <row r="746" spans="5:7" ht="12.5" x14ac:dyDescent="0.25">
      <c r="E746" s="9"/>
      <c r="G746" s="9"/>
    </row>
    <row r="747" spans="5:7" ht="12.5" x14ac:dyDescent="0.25">
      <c r="E747" s="9"/>
      <c r="G747" s="9"/>
    </row>
    <row r="748" spans="5:7" ht="12.5" x14ac:dyDescent="0.25">
      <c r="E748" s="9"/>
      <c r="G748" s="9"/>
    </row>
    <row r="749" spans="5:7" ht="12.5" x14ac:dyDescent="0.25">
      <c r="E749" s="9"/>
      <c r="G749" s="9"/>
    </row>
    <row r="750" spans="5:7" ht="12.5" x14ac:dyDescent="0.25">
      <c r="E750" s="9"/>
      <c r="G750" s="9"/>
    </row>
    <row r="751" spans="5:7" ht="12.5" x14ac:dyDescent="0.25">
      <c r="E751" s="9"/>
      <c r="G751" s="9"/>
    </row>
    <row r="752" spans="5:7" ht="12.5" x14ac:dyDescent="0.25">
      <c r="E752" s="9"/>
      <c r="G752" s="9"/>
    </row>
    <row r="753" spans="5:7" ht="12.5" x14ac:dyDescent="0.25">
      <c r="E753" s="9"/>
      <c r="G753" s="9"/>
    </row>
    <row r="754" spans="5:7" ht="12.5" x14ac:dyDescent="0.25">
      <c r="E754" s="9"/>
      <c r="G754" s="9"/>
    </row>
    <row r="755" spans="5:7" ht="12.5" x14ac:dyDescent="0.25">
      <c r="E755" s="9"/>
      <c r="G755" s="9"/>
    </row>
    <row r="756" spans="5:7" ht="12.5" x14ac:dyDescent="0.25">
      <c r="E756" s="9"/>
      <c r="G756" s="9"/>
    </row>
    <row r="757" spans="5:7" ht="12.5" x14ac:dyDescent="0.25">
      <c r="E757" s="9"/>
      <c r="G757" s="9"/>
    </row>
    <row r="758" spans="5:7" ht="12.5" x14ac:dyDescent="0.25">
      <c r="E758" s="9"/>
      <c r="G758" s="9"/>
    </row>
    <row r="759" spans="5:7" ht="12.5" x14ac:dyDescent="0.25">
      <c r="E759" s="9"/>
      <c r="G759" s="9"/>
    </row>
    <row r="760" spans="5:7" ht="12.5" x14ac:dyDescent="0.25">
      <c r="E760" s="9"/>
      <c r="G760" s="9"/>
    </row>
    <row r="761" spans="5:7" ht="12.5" x14ac:dyDescent="0.25">
      <c r="E761" s="9"/>
      <c r="G761" s="9"/>
    </row>
    <row r="762" spans="5:7" ht="12.5" x14ac:dyDescent="0.25">
      <c r="E762" s="9"/>
      <c r="G762" s="9"/>
    </row>
    <row r="763" spans="5:7" ht="12.5" x14ac:dyDescent="0.25">
      <c r="E763" s="9"/>
      <c r="G763" s="9"/>
    </row>
    <row r="764" spans="5:7" ht="12.5" x14ac:dyDescent="0.25">
      <c r="E764" s="9"/>
      <c r="G764" s="9"/>
    </row>
    <row r="765" spans="5:7" ht="12.5" x14ac:dyDescent="0.25">
      <c r="E765" s="9"/>
      <c r="G765" s="9"/>
    </row>
    <row r="766" spans="5:7" ht="12.5" x14ac:dyDescent="0.25">
      <c r="E766" s="9"/>
      <c r="G766" s="9"/>
    </row>
    <row r="767" spans="5:7" ht="12.5" x14ac:dyDescent="0.25">
      <c r="E767" s="9"/>
      <c r="G767" s="9"/>
    </row>
    <row r="768" spans="5:7" ht="12.5" x14ac:dyDescent="0.25">
      <c r="E768" s="9"/>
      <c r="G768" s="9"/>
    </row>
    <row r="769" spans="5:7" ht="12.5" x14ac:dyDescent="0.25">
      <c r="E769" s="9"/>
      <c r="G769" s="9"/>
    </row>
    <row r="770" spans="5:7" ht="12.5" x14ac:dyDescent="0.25">
      <c r="E770" s="9"/>
      <c r="G770" s="9"/>
    </row>
    <row r="771" spans="5:7" ht="12.5" x14ac:dyDescent="0.25">
      <c r="E771" s="9"/>
      <c r="G771" s="9"/>
    </row>
    <row r="772" spans="5:7" ht="12.5" x14ac:dyDescent="0.25">
      <c r="E772" s="9"/>
      <c r="G772" s="9"/>
    </row>
    <row r="773" spans="5:7" ht="12.5" x14ac:dyDescent="0.25">
      <c r="E773" s="9"/>
      <c r="G773" s="9"/>
    </row>
    <row r="774" spans="5:7" ht="12.5" x14ac:dyDescent="0.25">
      <c r="E774" s="9"/>
      <c r="G774" s="9"/>
    </row>
    <row r="775" spans="5:7" ht="12.5" x14ac:dyDescent="0.25">
      <c r="E775" s="9"/>
      <c r="G775" s="9"/>
    </row>
    <row r="776" spans="5:7" ht="12.5" x14ac:dyDescent="0.25">
      <c r="E776" s="9"/>
      <c r="G776" s="9"/>
    </row>
    <row r="777" spans="5:7" ht="12.5" x14ac:dyDescent="0.25">
      <c r="E777" s="9"/>
      <c r="G777" s="9"/>
    </row>
    <row r="778" spans="5:7" ht="12.5" x14ac:dyDescent="0.25">
      <c r="E778" s="9"/>
      <c r="G778" s="9"/>
    </row>
    <row r="779" spans="5:7" ht="12.5" x14ac:dyDescent="0.25">
      <c r="E779" s="9"/>
      <c r="G779" s="9"/>
    </row>
    <row r="780" spans="5:7" ht="12.5" x14ac:dyDescent="0.25">
      <c r="E780" s="9"/>
      <c r="G780" s="9"/>
    </row>
    <row r="781" spans="5:7" ht="12.5" x14ac:dyDescent="0.25">
      <c r="E781" s="9"/>
      <c r="G781" s="9"/>
    </row>
    <row r="782" spans="5:7" ht="12.5" x14ac:dyDescent="0.25">
      <c r="E782" s="9"/>
      <c r="G782" s="9"/>
    </row>
    <row r="783" spans="5:7" ht="12.5" x14ac:dyDescent="0.25">
      <c r="E783" s="9"/>
      <c r="G783" s="9"/>
    </row>
    <row r="784" spans="5:7" ht="12.5" x14ac:dyDescent="0.25">
      <c r="E784" s="9"/>
      <c r="G784" s="9"/>
    </row>
    <row r="785" spans="5:7" ht="12.5" x14ac:dyDescent="0.25">
      <c r="E785" s="9"/>
      <c r="G785" s="9"/>
    </row>
    <row r="786" spans="5:7" ht="12.5" x14ac:dyDescent="0.25">
      <c r="E786" s="9"/>
      <c r="G786" s="9"/>
    </row>
    <row r="787" spans="5:7" ht="12.5" x14ac:dyDescent="0.25">
      <c r="E787" s="9"/>
      <c r="G787" s="9"/>
    </row>
    <row r="788" spans="5:7" ht="12.5" x14ac:dyDescent="0.25">
      <c r="E788" s="9"/>
      <c r="G788" s="9"/>
    </row>
    <row r="789" spans="5:7" ht="12.5" x14ac:dyDescent="0.25">
      <c r="E789" s="9"/>
      <c r="G789" s="9"/>
    </row>
    <row r="790" spans="5:7" ht="12.5" x14ac:dyDescent="0.25">
      <c r="E790" s="9"/>
      <c r="G790" s="9"/>
    </row>
    <row r="791" spans="5:7" ht="12.5" x14ac:dyDescent="0.25">
      <c r="E791" s="9"/>
      <c r="G791" s="9"/>
    </row>
    <row r="792" spans="5:7" ht="12.5" x14ac:dyDescent="0.25">
      <c r="E792" s="9"/>
      <c r="G792" s="9"/>
    </row>
    <row r="793" spans="5:7" ht="12.5" x14ac:dyDescent="0.25">
      <c r="E793" s="9"/>
      <c r="G793" s="9"/>
    </row>
    <row r="794" spans="5:7" ht="12.5" x14ac:dyDescent="0.25">
      <c r="E794" s="9"/>
      <c r="G794" s="9"/>
    </row>
    <row r="795" spans="5:7" ht="12.5" x14ac:dyDescent="0.25">
      <c r="E795" s="9"/>
      <c r="G795" s="9"/>
    </row>
    <row r="796" spans="5:7" ht="12.5" x14ac:dyDescent="0.25">
      <c r="E796" s="9"/>
      <c r="G796" s="9"/>
    </row>
    <row r="797" spans="5:7" ht="12.5" x14ac:dyDescent="0.25">
      <c r="E797" s="9"/>
      <c r="G797" s="9"/>
    </row>
    <row r="798" spans="5:7" ht="12.5" x14ac:dyDescent="0.25">
      <c r="E798" s="9"/>
      <c r="G798" s="9"/>
    </row>
    <row r="799" spans="5:7" ht="12.5" x14ac:dyDescent="0.25">
      <c r="E799" s="9"/>
      <c r="G799" s="9"/>
    </row>
    <row r="800" spans="5:7" ht="12.5" x14ac:dyDescent="0.25">
      <c r="E800" s="9"/>
      <c r="G800" s="9"/>
    </row>
    <row r="801" spans="5:7" ht="12.5" x14ac:dyDescent="0.25">
      <c r="E801" s="9"/>
      <c r="G801" s="9"/>
    </row>
    <row r="802" spans="5:7" ht="12.5" x14ac:dyDescent="0.25">
      <c r="E802" s="9"/>
      <c r="G802" s="9"/>
    </row>
    <row r="803" spans="5:7" ht="12.5" x14ac:dyDescent="0.25">
      <c r="E803" s="9"/>
      <c r="G803" s="9"/>
    </row>
    <row r="804" spans="5:7" ht="12.5" x14ac:dyDescent="0.25">
      <c r="E804" s="9"/>
      <c r="G804" s="9"/>
    </row>
    <row r="805" spans="5:7" ht="12.5" x14ac:dyDescent="0.25">
      <c r="E805" s="9"/>
      <c r="G805" s="9"/>
    </row>
    <row r="806" spans="5:7" ht="12.5" x14ac:dyDescent="0.25">
      <c r="E806" s="9"/>
      <c r="G806" s="9"/>
    </row>
    <row r="807" spans="5:7" ht="12.5" x14ac:dyDescent="0.25">
      <c r="E807" s="9"/>
      <c r="G807" s="9"/>
    </row>
    <row r="808" spans="5:7" ht="12.5" x14ac:dyDescent="0.25">
      <c r="E808" s="9"/>
      <c r="G808" s="9"/>
    </row>
    <row r="809" spans="5:7" ht="12.5" x14ac:dyDescent="0.25">
      <c r="E809" s="9"/>
      <c r="G809" s="9"/>
    </row>
    <row r="810" spans="5:7" ht="12.5" x14ac:dyDescent="0.25">
      <c r="E810" s="9"/>
      <c r="G810" s="9"/>
    </row>
    <row r="811" spans="5:7" ht="12.5" x14ac:dyDescent="0.25">
      <c r="E811" s="9"/>
      <c r="G811" s="9"/>
    </row>
    <row r="812" spans="5:7" ht="12.5" x14ac:dyDescent="0.25">
      <c r="E812" s="9"/>
      <c r="G812" s="9"/>
    </row>
    <row r="813" spans="5:7" ht="12.5" x14ac:dyDescent="0.25">
      <c r="E813" s="9"/>
      <c r="G813" s="9"/>
    </row>
    <row r="814" spans="5:7" ht="12.5" x14ac:dyDescent="0.25">
      <c r="E814" s="9"/>
      <c r="G814" s="9"/>
    </row>
    <row r="815" spans="5:7" ht="12.5" x14ac:dyDescent="0.25">
      <c r="E815" s="9"/>
      <c r="G815" s="9"/>
    </row>
    <row r="816" spans="5:7" ht="12.5" x14ac:dyDescent="0.25">
      <c r="E816" s="9"/>
      <c r="G816" s="9"/>
    </row>
    <row r="817" spans="5:7" ht="12.5" x14ac:dyDescent="0.25">
      <c r="E817" s="9"/>
      <c r="G817" s="9"/>
    </row>
    <row r="818" spans="5:7" ht="12.5" x14ac:dyDescent="0.25">
      <c r="E818" s="9"/>
      <c r="G818" s="9"/>
    </row>
    <row r="819" spans="5:7" ht="12.5" x14ac:dyDescent="0.25">
      <c r="E819" s="9"/>
      <c r="G819" s="9"/>
    </row>
    <row r="820" spans="5:7" ht="12.5" x14ac:dyDescent="0.25">
      <c r="E820" s="9"/>
      <c r="G820" s="9"/>
    </row>
    <row r="821" spans="5:7" ht="12.5" x14ac:dyDescent="0.25">
      <c r="E821" s="9"/>
      <c r="G821" s="9"/>
    </row>
    <row r="822" spans="5:7" ht="12.5" x14ac:dyDescent="0.25">
      <c r="E822" s="9"/>
      <c r="G822" s="9"/>
    </row>
    <row r="823" spans="5:7" ht="12.5" x14ac:dyDescent="0.25">
      <c r="E823" s="9"/>
      <c r="G823" s="9"/>
    </row>
    <row r="824" spans="5:7" ht="12.5" x14ac:dyDescent="0.25">
      <c r="E824" s="9"/>
      <c r="G824" s="9"/>
    </row>
    <row r="825" spans="5:7" ht="12.5" x14ac:dyDescent="0.25">
      <c r="E825" s="9"/>
      <c r="G825" s="9"/>
    </row>
    <row r="826" spans="5:7" ht="12.5" x14ac:dyDescent="0.25">
      <c r="E826" s="9"/>
      <c r="G826" s="9"/>
    </row>
    <row r="827" spans="5:7" ht="12.5" x14ac:dyDescent="0.25">
      <c r="E827" s="9"/>
      <c r="G827" s="9"/>
    </row>
    <row r="828" spans="5:7" ht="12.5" x14ac:dyDescent="0.25">
      <c r="E828" s="9"/>
      <c r="G828" s="9"/>
    </row>
    <row r="829" spans="5:7" ht="12.5" x14ac:dyDescent="0.25">
      <c r="E829" s="9"/>
      <c r="G829" s="9"/>
    </row>
    <row r="830" spans="5:7" ht="12.5" x14ac:dyDescent="0.25">
      <c r="E830" s="9"/>
      <c r="G830" s="9"/>
    </row>
    <row r="831" spans="5:7" ht="12.5" x14ac:dyDescent="0.25">
      <c r="E831" s="9"/>
      <c r="G831" s="9"/>
    </row>
    <row r="832" spans="5:7" ht="12.5" x14ac:dyDescent="0.25">
      <c r="E832" s="9"/>
      <c r="G832" s="9"/>
    </row>
    <row r="833" spans="5:7" ht="12.5" x14ac:dyDescent="0.25">
      <c r="E833" s="9"/>
      <c r="G833" s="9"/>
    </row>
    <row r="834" spans="5:7" ht="12.5" x14ac:dyDescent="0.25">
      <c r="E834" s="9"/>
      <c r="G834" s="9"/>
    </row>
    <row r="835" spans="5:7" ht="12.5" x14ac:dyDescent="0.25">
      <c r="E835" s="9"/>
      <c r="G835" s="9"/>
    </row>
    <row r="836" spans="5:7" ht="12.5" x14ac:dyDescent="0.25">
      <c r="E836" s="9"/>
      <c r="G836" s="9"/>
    </row>
    <row r="837" spans="5:7" ht="12.5" x14ac:dyDescent="0.25">
      <c r="E837" s="9"/>
      <c r="G837" s="9"/>
    </row>
    <row r="838" spans="5:7" ht="12.5" x14ac:dyDescent="0.25">
      <c r="E838" s="9"/>
      <c r="G838" s="9"/>
    </row>
    <row r="839" spans="5:7" ht="12.5" x14ac:dyDescent="0.25">
      <c r="E839" s="9"/>
      <c r="G839" s="9"/>
    </row>
    <row r="840" spans="5:7" ht="12.5" x14ac:dyDescent="0.25">
      <c r="E840" s="9"/>
      <c r="G840" s="9"/>
    </row>
    <row r="841" spans="5:7" ht="12.5" x14ac:dyDescent="0.25">
      <c r="E841" s="9"/>
      <c r="G841" s="9"/>
    </row>
    <row r="842" spans="5:7" ht="12.5" x14ac:dyDescent="0.25">
      <c r="E842" s="9"/>
      <c r="G842" s="9"/>
    </row>
    <row r="843" spans="5:7" ht="12.5" x14ac:dyDescent="0.25">
      <c r="E843" s="9"/>
      <c r="G843" s="9"/>
    </row>
    <row r="844" spans="5:7" ht="12.5" x14ac:dyDescent="0.25">
      <c r="E844" s="9"/>
      <c r="G844" s="9"/>
    </row>
    <row r="845" spans="5:7" ht="12.5" x14ac:dyDescent="0.25">
      <c r="E845" s="9"/>
      <c r="G845" s="9"/>
    </row>
    <row r="846" spans="5:7" ht="12.5" x14ac:dyDescent="0.25">
      <c r="E846" s="9"/>
      <c r="G846" s="9"/>
    </row>
    <row r="847" spans="5:7" ht="12.5" x14ac:dyDescent="0.25">
      <c r="E847" s="9"/>
      <c r="G847" s="9"/>
    </row>
    <row r="848" spans="5:7" ht="12.5" x14ac:dyDescent="0.25">
      <c r="E848" s="9"/>
      <c r="G848" s="9"/>
    </row>
    <row r="849" spans="5:7" ht="12.5" x14ac:dyDescent="0.25">
      <c r="E849" s="9"/>
      <c r="G849" s="9"/>
    </row>
    <row r="850" spans="5:7" ht="12.5" x14ac:dyDescent="0.25">
      <c r="E850" s="9"/>
      <c r="G850" s="9"/>
    </row>
    <row r="851" spans="5:7" ht="12.5" x14ac:dyDescent="0.25">
      <c r="E851" s="9"/>
      <c r="G851" s="9"/>
    </row>
    <row r="852" spans="5:7" ht="12.5" x14ac:dyDescent="0.25">
      <c r="E852" s="9"/>
      <c r="G852" s="9"/>
    </row>
    <row r="853" spans="5:7" ht="12.5" x14ac:dyDescent="0.25">
      <c r="E853" s="9"/>
      <c r="G853" s="9"/>
    </row>
    <row r="854" spans="5:7" ht="12.5" x14ac:dyDescent="0.25">
      <c r="E854" s="9"/>
      <c r="G854" s="9"/>
    </row>
    <row r="855" spans="5:7" ht="12.5" x14ac:dyDescent="0.25">
      <c r="E855" s="9"/>
      <c r="G855" s="9"/>
    </row>
    <row r="856" spans="5:7" ht="12.5" x14ac:dyDescent="0.25">
      <c r="E856" s="9"/>
      <c r="G856" s="9"/>
    </row>
    <row r="857" spans="5:7" ht="12.5" x14ac:dyDescent="0.25">
      <c r="E857" s="9"/>
      <c r="G857" s="9"/>
    </row>
    <row r="858" spans="5:7" ht="12.5" x14ac:dyDescent="0.25">
      <c r="E858" s="9"/>
      <c r="G858" s="9"/>
    </row>
    <row r="859" spans="5:7" ht="12.5" x14ac:dyDescent="0.25">
      <c r="E859" s="9"/>
      <c r="G859" s="9"/>
    </row>
    <row r="860" spans="5:7" ht="12.5" x14ac:dyDescent="0.25">
      <c r="E860" s="9"/>
      <c r="G860" s="9"/>
    </row>
    <row r="861" spans="5:7" ht="12.5" x14ac:dyDescent="0.25">
      <c r="E861" s="9"/>
      <c r="G861" s="9"/>
    </row>
    <row r="862" spans="5:7" ht="12.5" x14ac:dyDescent="0.25">
      <c r="E862" s="9"/>
      <c r="G862" s="9"/>
    </row>
    <row r="863" spans="5:7" ht="12.5" x14ac:dyDescent="0.25">
      <c r="E863" s="9"/>
      <c r="G863" s="9"/>
    </row>
    <row r="864" spans="5:7" ht="12.5" x14ac:dyDescent="0.25">
      <c r="E864" s="9"/>
      <c r="G864" s="9"/>
    </row>
    <row r="865" spans="5:7" ht="12.5" x14ac:dyDescent="0.25">
      <c r="E865" s="9"/>
      <c r="G865" s="9"/>
    </row>
    <row r="866" spans="5:7" ht="12.5" x14ac:dyDescent="0.25">
      <c r="E866" s="9"/>
      <c r="G866" s="9"/>
    </row>
    <row r="867" spans="5:7" ht="12.5" x14ac:dyDescent="0.25">
      <c r="E867" s="9"/>
      <c r="G867" s="9"/>
    </row>
    <row r="868" spans="5:7" ht="12.5" x14ac:dyDescent="0.25">
      <c r="E868" s="9"/>
      <c r="G868" s="9"/>
    </row>
    <row r="869" spans="5:7" ht="12.5" x14ac:dyDescent="0.25">
      <c r="E869" s="9"/>
      <c r="G869" s="9"/>
    </row>
    <row r="870" spans="5:7" ht="12.5" x14ac:dyDescent="0.25">
      <c r="E870" s="9"/>
      <c r="G870" s="9"/>
    </row>
    <row r="871" spans="5:7" ht="12.5" x14ac:dyDescent="0.25">
      <c r="E871" s="9"/>
      <c r="G871" s="9"/>
    </row>
    <row r="872" spans="5:7" ht="12.5" x14ac:dyDescent="0.25">
      <c r="E872" s="9"/>
      <c r="G872" s="9"/>
    </row>
    <row r="873" spans="5:7" ht="12.5" x14ac:dyDescent="0.25">
      <c r="E873" s="9"/>
      <c r="G873" s="9"/>
    </row>
    <row r="874" spans="5:7" ht="12.5" x14ac:dyDescent="0.25">
      <c r="E874" s="9"/>
      <c r="G874" s="9"/>
    </row>
    <row r="875" spans="5:7" ht="12.5" x14ac:dyDescent="0.25">
      <c r="E875" s="9"/>
      <c r="G875" s="9"/>
    </row>
    <row r="876" spans="5:7" ht="12.5" x14ac:dyDescent="0.25">
      <c r="E876" s="9"/>
      <c r="G876" s="9"/>
    </row>
    <row r="877" spans="5:7" ht="12.5" x14ac:dyDescent="0.25">
      <c r="E877" s="9"/>
      <c r="G877" s="9"/>
    </row>
    <row r="878" spans="5:7" ht="12.5" x14ac:dyDescent="0.25">
      <c r="E878" s="9"/>
      <c r="G878" s="9"/>
    </row>
    <row r="879" spans="5:7" ht="12.5" x14ac:dyDescent="0.25">
      <c r="E879" s="9"/>
      <c r="G879" s="9"/>
    </row>
    <row r="880" spans="5:7" ht="12.5" x14ac:dyDescent="0.25">
      <c r="E880" s="9"/>
      <c r="G880" s="9"/>
    </row>
    <row r="881" spans="5:7" ht="12.5" x14ac:dyDescent="0.25">
      <c r="E881" s="9"/>
      <c r="G881" s="9"/>
    </row>
    <row r="882" spans="5:7" ht="12.5" x14ac:dyDescent="0.25">
      <c r="E882" s="9"/>
      <c r="G882" s="9"/>
    </row>
    <row r="883" spans="5:7" ht="12.5" x14ac:dyDescent="0.25">
      <c r="E883" s="9"/>
      <c r="G883" s="9"/>
    </row>
    <row r="884" spans="5:7" ht="12.5" x14ac:dyDescent="0.25">
      <c r="E884" s="9"/>
      <c r="G884" s="9"/>
    </row>
    <row r="885" spans="5:7" ht="12.5" x14ac:dyDescent="0.25">
      <c r="E885" s="9"/>
      <c r="G885" s="9"/>
    </row>
    <row r="886" spans="5:7" ht="12.5" x14ac:dyDescent="0.25">
      <c r="E886" s="9"/>
      <c r="G886" s="9"/>
    </row>
    <row r="887" spans="5:7" ht="12.5" x14ac:dyDescent="0.25">
      <c r="E887" s="9"/>
      <c r="G887" s="9"/>
    </row>
    <row r="888" spans="5:7" ht="12.5" x14ac:dyDescent="0.25">
      <c r="E888" s="9"/>
      <c r="G888" s="9"/>
    </row>
    <row r="889" spans="5:7" ht="12.5" x14ac:dyDescent="0.25">
      <c r="E889" s="9"/>
      <c r="G889" s="9"/>
    </row>
    <row r="890" spans="5:7" ht="12.5" x14ac:dyDescent="0.25">
      <c r="E890" s="9"/>
      <c r="G890" s="9"/>
    </row>
    <row r="891" spans="5:7" ht="12.5" x14ac:dyDescent="0.25">
      <c r="E891" s="9"/>
      <c r="G891" s="9"/>
    </row>
    <row r="892" spans="5:7" ht="12.5" x14ac:dyDescent="0.25">
      <c r="E892" s="9"/>
      <c r="G892" s="9"/>
    </row>
    <row r="893" spans="5:7" ht="12.5" x14ac:dyDescent="0.25">
      <c r="E893" s="9"/>
      <c r="G893" s="9"/>
    </row>
    <row r="894" spans="5:7" ht="12.5" x14ac:dyDescent="0.25">
      <c r="E894" s="9"/>
      <c r="G894" s="9"/>
    </row>
    <row r="895" spans="5:7" ht="12.5" x14ac:dyDescent="0.25">
      <c r="E895" s="9"/>
      <c r="G895" s="9"/>
    </row>
    <row r="896" spans="5:7" ht="12.5" x14ac:dyDescent="0.25">
      <c r="E896" s="9"/>
      <c r="G896" s="9"/>
    </row>
    <row r="897" spans="5:7" ht="12.5" x14ac:dyDescent="0.25">
      <c r="E897" s="9"/>
      <c r="G897" s="9"/>
    </row>
    <row r="898" spans="5:7" ht="12.5" x14ac:dyDescent="0.25">
      <c r="E898" s="9"/>
      <c r="G898" s="9"/>
    </row>
    <row r="899" spans="5:7" ht="12.5" x14ac:dyDescent="0.25">
      <c r="E899" s="9"/>
      <c r="G899" s="9"/>
    </row>
    <row r="900" spans="5:7" ht="12.5" x14ac:dyDescent="0.25">
      <c r="E900" s="9"/>
      <c r="G900" s="9"/>
    </row>
    <row r="901" spans="5:7" ht="12.5" x14ac:dyDescent="0.25">
      <c r="E901" s="9"/>
      <c r="G901" s="9"/>
    </row>
    <row r="902" spans="5:7" ht="12.5" x14ac:dyDescent="0.25">
      <c r="E902" s="9"/>
      <c r="G902" s="9"/>
    </row>
    <row r="903" spans="5:7" ht="12.5" x14ac:dyDescent="0.25">
      <c r="E903" s="9"/>
      <c r="G903" s="9"/>
    </row>
    <row r="904" spans="5:7" ht="12.5" x14ac:dyDescent="0.25">
      <c r="E904" s="9"/>
      <c r="G904" s="9"/>
    </row>
    <row r="905" spans="5:7" ht="12.5" x14ac:dyDescent="0.25">
      <c r="E905" s="9"/>
      <c r="G905" s="9"/>
    </row>
    <row r="906" spans="5:7" ht="12.5" x14ac:dyDescent="0.25">
      <c r="E906" s="9"/>
      <c r="G906" s="9"/>
    </row>
    <row r="907" spans="5:7" ht="12.5" x14ac:dyDescent="0.25">
      <c r="E907" s="9"/>
      <c r="G907" s="9"/>
    </row>
    <row r="908" spans="5:7" ht="12.5" x14ac:dyDescent="0.25">
      <c r="E908" s="9"/>
      <c r="G908" s="9"/>
    </row>
    <row r="909" spans="5:7" ht="12.5" x14ac:dyDescent="0.25">
      <c r="E909" s="9"/>
      <c r="G909" s="9"/>
    </row>
    <row r="910" spans="5:7" ht="12.5" x14ac:dyDescent="0.25">
      <c r="E910" s="9"/>
      <c r="G910" s="9"/>
    </row>
    <row r="911" spans="5:7" ht="12.5" x14ac:dyDescent="0.25">
      <c r="E911" s="9"/>
      <c r="G911" s="9"/>
    </row>
    <row r="912" spans="5:7" ht="12.5" x14ac:dyDescent="0.25">
      <c r="E912" s="9"/>
      <c r="G912" s="9"/>
    </row>
    <row r="913" spans="5:7" ht="12.5" x14ac:dyDescent="0.25">
      <c r="E913" s="9"/>
      <c r="G913" s="9"/>
    </row>
    <row r="914" spans="5:7" ht="12.5" x14ac:dyDescent="0.25">
      <c r="E914" s="9"/>
      <c r="G914" s="9"/>
    </row>
    <row r="915" spans="5:7" ht="12.5" x14ac:dyDescent="0.25">
      <c r="E915" s="9"/>
      <c r="G915" s="9"/>
    </row>
    <row r="916" spans="5:7" ht="12.5" x14ac:dyDescent="0.25">
      <c r="E916" s="9"/>
      <c r="G916" s="9"/>
    </row>
    <row r="917" spans="5:7" ht="12.5" x14ac:dyDescent="0.25">
      <c r="E917" s="9"/>
      <c r="G917" s="9"/>
    </row>
    <row r="918" spans="5:7" ht="12.5" x14ac:dyDescent="0.25">
      <c r="E918" s="9"/>
      <c r="G918" s="9"/>
    </row>
    <row r="919" spans="5:7" ht="12.5" x14ac:dyDescent="0.25">
      <c r="E919" s="9"/>
      <c r="G919" s="9"/>
    </row>
    <row r="920" spans="5:7" ht="12.5" x14ac:dyDescent="0.25">
      <c r="E920" s="9"/>
      <c r="G920" s="9"/>
    </row>
    <row r="921" spans="5:7" ht="12.5" x14ac:dyDescent="0.25">
      <c r="E921" s="9"/>
      <c r="G921" s="9"/>
    </row>
    <row r="922" spans="5:7" ht="12.5" x14ac:dyDescent="0.25">
      <c r="E922" s="9"/>
      <c r="G922" s="9"/>
    </row>
    <row r="923" spans="5:7" ht="12.5" x14ac:dyDescent="0.25">
      <c r="E923" s="9"/>
      <c r="G923" s="9"/>
    </row>
    <row r="924" spans="5:7" ht="12.5" x14ac:dyDescent="0.25">
      <c r="E924" s="9"/>
      <c r="G924" s="9"/>
    </row>
    <row r="925" spans="5:7" ht="12.5" x14ac:dyDescent="0.25">
      <c r="E925" s="9"/>
      <c r="G925" s="9"/>
    </row>
    <row r="926" spans="5:7" ht="12.5" x14ac:dyDescent="0.25">
      <c r="E926" s="9"/>
      <c r="G926" s="9"/>
    </row>
    <row r="927" spans="5:7" ht="12.5" x14ac:dyDescent="0.25">
      <c r="E927" s="9"/>
      <c r="G927" s="9"/>
    </row>
    <row r="928" spans="5:7" ht="12.5" x14ac:dyDescent="0.25">
      <c r="E928" s="9"/>
      <c r="G928" s="9"/>
    </row>
    <row r="929" spans="5:7" ht="12.5" x14ac:dyDescent="0.25">
      <c r="E929" s="9"/>
      <c r="G929" s="9"/>
    </row>
    <row r="930" spans="5:7" ht="12.5" x14ac:dyDescent="0.25">
      <c r="E930" s="9"/>
      <c r="G930" s="9"/>
    </row>
    <row r="931" spans="5:7" ht="12.5" x14ac:dyDescent="0.25">
      <c r="E931" s="9"/>
      <c r="G931" s="9"/>
    </row>
    <row r="932" spans="5:7" ht="12.5" x14ac:dyDescent="0.25">
      <c r="E932" s="9"/>
      <c r="G932" s="9"/>
    </row>
    <row r="933" spans="5:7" ht="12.5" x14ac:dyDescent="0.25">
      <c r="E933" s="9"/>
      <c r="G933" s="9"/>
    </row>
    <row r="934" spans="5:7" ht="12.5" x14ac:dyDescent="0.25">
      <c r="E934" s="9"/>
      <c r="G934" s="9"/>
    </row>
    <row r="935" spans="5:7" ht="12.5" x14ac:dyDescent="0.25">
      <c r="E935" s="9"/>
      <c r="G935" s="9"/>
    </row>
    <row r="936" spans="5:7" ht="12.5" x14ac:dyDescent="0.25">
      <c r="E936" s="9"/>
      <c r="G936" s="9"/>
    </row>
    <row r="937" spans="5:7" ht="12.5" x14ac:dyDescent="0.25">
      <c r="E937" s="9"/>
      <c r="G937" s="9"/>
    </row>
    <row r="938" spans="5:7" ht="12.5" x14ac:dyDescent="0.25">
      <c r="E938" s="9"/>
      <c r="G938" s="9"/>
    </row>
    <row r="939" spans="5:7" ht="12.5" x14ac:dyDescent="0.25">
      <c r="E939" s="9"/>
      <c r="G939" s="9"/>
    </row>
    <row r="940" spans="5:7" ht="12.5" x14ac:dyDescent="0.25">
      <c r="E940" s="9"/>
      <c r="G940" s="9"/>
    </row>
    <row r="941" spans="5:7" ht="12.5" x14ac:dyDescent="0.25">
      <c r="E941" s="9"/>
      <c r="G941" s="9"/>
    </row>
    <row r="942" spans="5:7" ht="12.5" x14ac:dyDescent="0.25">
      <c r="E942" s="9"/>
      <c r="G942" s="9"/>
    </row>
    <row r="943" spans="5:7" ht="12.5" x14ac:dyDescent="0.25">
      <c r="E943" s="9"/>
      <c r="G943" s="9"/>
    </row>
    <row r="944" spans="5:7" ht="12.5" x14ac:dyDescent="0.25">
      <c r="E944" s="9"/>
      <c r="G944" s="9"/>
    </row>
    <row r="945" spans="5:7" ht="12.5" x14ac:dyDescent="0.25">
      <c r="E945" s="9"/>
      <c r="G945" s="9"/>
    </row>
    <row r="946" spans="5:7" ht="12.5" x14ac:dyDescent="0.25">
      <c r="E946" s="9"/>
      <c r="G946" s="9"/>
    </row>
    <row r="947" spans="5:7" ht="12.5" x14ac:dyDescent="0.25">
      <c r="E947" s="9"/>
      <c r="G947" s="9"/>
    </row>
    <row r="948" spans="5:7" ht="12.5" x14ac:dyDescent="0.25">
      <c r="E948" s="9"/>
      <c r="G948" s="9"/>
    </row>
    <row r="949" spans="5:7" ht="12.5" x14ac:dyDescent="0.25">
      <c r="E949" s="9"/>
      <c r="G949" s="9"/>
    </row>
    <row r="950" spans="5:7" ht="12.5" x14ac:dyDescent="0.25">
      <c r="E950" s="9"/>
      <c r="G950" s="9"/>
    </row>
    <row r="951" spans="5:7" ht="12.5" x14ac:dyDescent="0.25">
      <c r="E951" s="9"/>
      <c r="G951" s="9"/>
    </row>
    <row r="952" spans="5:7" ht="12.5" x14ac:dyDescent="0.25">
      <c r="E952" s="9"/>
      <c r="G952" s="9"/>
    </row>
    <row r="953" spans="5:7" ht="12.5" x14ac:dyDescent="0.25">
      <c r="E953" s="9"/>
      <c r="G953" s="9"/>
    </row>
    <row r="954" spans="5:7" ht="12.5" x14ac:dyDescent="0.25">
      <c r="E954" s="9"/>
      <c r="G954" s="9"/>
    </row>
  </sheetData>
  <autoFilter ref="A3:Y3" xr:uid="{00000000-0009-0000-0000-000004000000}"/>
  <mergeCells count="3">
    <mergeCell ref="A2:D2"/>
    <mergeCell ref="E2:F2"/>
    <mergeCell ref="G2:M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X47"/>
  <sheetViews>
    <sheetView topLeftCell="B1" workbookViewId="0">
      <selection activeCell="M4" sqref="M4"/>
    </sheetView>
  </sheetViews>
  <sheetFormatPr defaultColWidth="12.6328125" defaultRowHeight="15.75" customHeight="1" x14ac:dyDescent="0.25"/>
  <cols>
    <col min="5" max="5" width="47.7265625" customWidth="1"/>
    <col min="11" max="12" width="12.6328125" hidden="1"/>
  </cols>
  <sheetData>
    <row r="2" spans="1:24" ht="21" customHeight="1" x14ac:dyDescent="0.35">
      <c r="A2" s="34" t="s">
        <v>0</v>
      </c>
      <c r="B2" s="35"/>
      <c r="C2" s="35"/>
      <c r="D2" s="35"/>
      <c r="E2" s="36"/>
      <c r="F2" s="35"/>
      <c r="G2" s="37"/>
      <c r="H2" s="35"/>
      <c r="I2" s="35"/>
      <c r="J2" s="35"/>
      <c r="K2" s="35"/>
      <c r="L2" s="35"/>
      <c r="M2" s="2"/>
      <c r="N2" s="2"/>
      <c r="O2" s="2"/>
      <c r="P2" s="2"/>
      <c r="Q2" s="2"/>
      <c r="R2" s="2"/>
      <c r="S2" s="2"/>
      <c r="T2" s="2"/>
      <c r="U2" s="2"/>
      <c r="V2" s="2"/>
      <c r="W2" s="2"/>
      <c r="X2" s="2"/>
    </row>
    <row r="3" spans="1:24" ht="20.25" customHeight="1" x14ac:dyDescent="0.3">
      <c r="A3" s="3" t="s">
        <v>2</v>
      </c>
      <c r="B3" s="3" t="s">
        <v>3</v>
      </c>
      <c r="C3" s="3" t="s">
        <v>4</v>
      </c>
      <c r="D3" s="3" t="s">
        <v>5</v>
      </c>
      <c r="E3" s="4" t="s">
        <v>1</v>
      </c>
      <c r="F3" s="3" t="s">
        <v>6</v>
      </c>
      <c r="G3" s="5">
        <v>0.25</v>
      </c>
      <c r="H3" s="5">
        <v>0.5</v>
      </c>
      <c r="I3" s="5">
        <v>0.75</v>
      </c>
      <c r="J3" s="5">
        <v>1</v>
      </c>
      <c r="K3" s="3" t="s">
        <v>7</v>
      </c>
      <c r="L3" s="3" t="s">
        <v>8</v>
      </c>
      <c r="M3" s="6"/>
      <c r="N3" s="6"/>
      <c r="O3" s="6"/>
      <c r="P3" s="6"/>
      <c r="Q3" s="6"/>
      <c r="R3" s="6"/>
      <c r="S3" s="6"/>
      <c r="T3" s="6"/>
      <c r="U3" s="6"/>
      <c r="V3" s="6"/>
      <c r="W3" s="6"/>
      <c r="X3" s="6"/>
    </row>
    <row r="4" spans="1:24" ht="22.5" customHeight="1" x14ac:dyDescent="0.25">
      <c r="A4" s="7" t="s">
        <v>9</v>
      </c>
      <c r="B4" s="7" t="s">
        <v>10</v>
      </c>
      <c r="C4" s="8" t="s">
        <v>11</v>
      </c>
      <c r="D4" s="7">
        <v>689</v>
      </c>
      <c r="E4" s="9" t="s">
        <v>12</v>
      </c>
      <c r="F4" s="10" t="s">
        <v>13</v>
      </c>
      <c r="G4" s="11" t="s">
        <v>14</v>
      </c>
      <c r="H4" s="11" t="s">
        <v>14</v>
      </c>
      <c r="I4" s="11" t="s">
        <v>14</v>
      </c>
      <c r="J4" s="11" t="s">
        <v>14</v>
      </c>
      <c r="M4" cm="1">
        <f t="array" ref="M4">_xlfn.IFS(J4="PASS",1,I4="PASS",0.75,H4="PASS",0.5,G4="PASS",0.25,G4="FAIL",0)</f>
        <v>1</v>
      </c>
    </row>
    <row r="5" spans="1:24" ht="22.5" customHeight="1" x14ac:dyDescent="0.25">
      <c r="A5" s="7" t="s">
        <v>15</v>
      </c>
      <c r="B5" s="7" t="s">
        <v>10</v>
      </c>
      <c r="C5" s="8" t="s">
        <v>11</v>
      </c>
      <c r="D5" s="7">
        <v>738</v>
      </c>
      <c r="E5" s="9" t="s">
        <v>16</v>
      </c>
      <c r="F5" s="10" t="s">
        <v>13</v>
      </c>
      <c r="G5" s="11" t="s">
        <v>14</v>
      </c>
      <c r="H5" s="11" t="s">
        <v>14</v>
      </c>
      <c r="I5" s="11" t="s">
        <v>14</v>
      </c>
      <c r="J5" s="11" t="s">
        <v>14</v>
      </c>
      <c r="M5" cm="1">
        <f t="array" ref="M5">_xlfn.IFS(J5="PASS",1,I5="PASS",0.75,H5="PASS",0.5,G5="PASS",0.25,G5="FAIL",0)</f>
        <v>1</v>
      </c>
    </row>
    <row r="6" spans="1:24" ht="22.5" customHeight="1" x14ac:dyDescent="0.25">
      <c r="A6" s="7" t="s">
        <v>15</v>
      </c>
      <c r="B6" s="7" t="s">
        <v>10</v>
      </c>
      <c r="C6" s="8" t="s">
        <v>11</v>
      </c>
      <c r="D6" s="7">
        <v>738</v>
      </c>
      <c r="E6" s="9" t="s">
        <v>18</v>
      </c>
      <c r="F6" s="10" t="s">
        <v>13</v>
      </c>
      <c r="G6" s="11" t="s">
        <v>14</v>
      </c>
      <c r="H6" s="11" t="s">
        <v>14</v>
      </c>
      <c r="I6" s="11" t="s">
        <v>14</v>
      </c>
      <c r="J6" s="11" t="s">
        <v>14</v>
      </c>
      <c r="M6" cm="1">
        <f t="array" ref="M6">_xlfn.IFS(J6="PASS",1,I6="PASS",0.75,H6="PASS",0.5,G6="PASS",0.25,G6="FAIL",0)</f>
        <v>1</v>
      </c>
    </row>
    <row r="7" spans="1:24" ht="22.5" customHeight="1" x14ac:dyDescent="0.25">
      <c r="A7" s="7" t="s">
        <v>19</v>
      </c>
      <c r="B7" s="7" t="s">
        <v>10</v>
      </c>
      <c r="C7" s="8" t="s">
        <v>11</v>
      </c>
      <c r="D7" s="7">
        <v>715</v>
      </c>
      <c r="E7" s="9" t="s">
        <v>20</v>
      </c>
      <c r="F7" s="10" t="s">
        <v>13</v>
      </c>
      <c r="G7" s="12" t="s">
        <v>17</v>
      </c>
      <c r="H7" s="12" t="s">
        <v>17</v>
      </c>
      <c r="I7" s="12" t="s">
        <v>17</v>
      </c>
      <c r="J7" s="12" t="s">
        <v>17</v>
      </c>
      <c r="M7" cm="1">
        <f t="array" ref="M7">_xlfn.IFS(J7="PASS",1,I7="PASS",0.75,H7="PASS",0.5,G7="PASS",0.25,G7="FAIL",0)</f>
        <v>0</v>
      </c>
    </row>
    <row r="8" spans="1:24" ht="22.5" customHeight="1" x14ac:dyDescent="0.25">
      <c r="A8" s="7" t="s">
        <v>19</v>
      </c>
      <c r="B8" s="7" t="s">
        <v>10</v>
      </c>
      <c r="C8" s="8" t="s">
        <v>11</v>
      </c>
      <c r="D8" s="7">
        <v>715</v>
      </c>
      <c r="E8" s="9" t="s">
        <v>21</v>
      </c>
      <c r="F8" s="10" t="s">
        <v>13</v>
      </c>
      <c r="G8" s="12" t="s">
        <v>17</v>
      </c>
      <c r="H8" s="12" t="s">
        <v>17</v>
      </c>
      <c r="I8" s="12" t="s">
        <v>17</v>
      </c>
      <c r="J8" s="12" t="s">
        <v>17</v>
      </c>
      <c r="M8" cm="1">
        <f t="array" ref="M8">_xlfn.IFS(J8="PASS",1,I8="PASS",0.75,H8="PASS",0.5,G8="PASS",0.25,G8="FAIL",0)</f>
        <v>0</v>
      </c>
    </row>
    <row r="9" spans="1:24" ht="22.5" customHeight="1" x14ac:dyDescent="0.25">
      <c r="A9" s="7" t="s">
        <v>19</v>
      </c>
      <c r="B9" s="7" t="s">
        <v>10</v>
      </c>
      <c r="C9" s="8" t="s">
        <v>11</v>
      </c>
      <c r="D9" s="7">
        <v>715</v>
      </c>
      <c r="E9" s="9" t="s">
        <v>22</v>
      </c>
      <c r="F9" s="10" t="s">
        <v>13</v>
      </c>
      <c r="G9" s="11" t="s">
        <v>14</v>
      </c>
      <c r="H9" s="11" t="s">
        <v>14</v>
      </c>
      <c r="I9" s="11" t="s">
        <v>14</v>
      </c>
      <c r="J9" s="11" t="s">
        <v>14</v>
      </c>
      <c r="M9" cm="1">
        <f t="array" ref="M9">_xlfn.IFS(J9="PASS",1,I9="PASS",0.75,H9="PASS",0.5,G9="PASS",0.25,G9="FAIL",0)</f>
        <v>1</v>
      </c>
    </row>
    <row r="10" spans="1:24" ht="22.5" customHeight="1" x14ac:dyDescent="0.25">
      <c r="A10" s="7" t="s">
        <v>23</v>
      </c>
      <c r="B10" s="7" t="s">
        <v>10</v>
      </c>
      <c r="C10" s="8" t="s">
        <v>11</v>
      </c>
      <c r="D10" s="7">
        <v>689</v>
      </c>
      <c r="E10" s="9" t="s">
        <v>24</v>
      </c>
      <c r="F10" s="10" t="s">
        <v>13</v>
      </c>
      <c r="G10" s="11" t="s">
        <v>14</v>
      </c>
      <c r="H10" s="11" t="s">
        <v>14</v>
      </c>
      <c r="I10" s="11" t="s">
        <v>14</v>
      </c>
      <c r="J10" s="11" t="s">
        <v>14</v>
      </c>
      <c r="M10" cm="1">
        <f t="array" ref="M10">_xlfn.IFS(J10="PASS",1,I10="PASS",0.75,H10="PASS",0.5,G10="PASS",0.25,G10="FAIL",0)</f>
        <v>1</v>
      </c>
    </row>
    <row r="11" spans="1:24" ht="22.5" customHeight="1" x14ac:dyDescent="0.25">
      <c r="A11" s="7" t="s">
        <v>23</v>
      </c>
      <c r="B11" s="7" t="s">
        <v>10</v>
      </c>
      <c r="C11" s="8" t="s">
        <v>11</v>
      </c>
      <c r="D11" s="7">
        <v>689</v>
      </c>
      <c r="E11" s="9" t="s">
        <v>25</v>
      </c>
      <c r="F11" s="10" t="s">
        <v>13</v>
      </c>
      <c r="G11" s="11" t="s">
        <v>14</v>
      </c>
      <c r="H11" s="11" t="s">
        <v>14</v>
      </c>
      <c r="I11" s="11" t="s">
        <v>14</v>
      </c>
      <c r="J11" s="11" t="s">
        <v>14</v>
      </c>
      <c r="M11" cm="1">
        <f t="array" ref="M11">_xlfn.IFS(J11="PASS",1,I11="PASS",0.75,H11="PASS",0.5,G11="PASS",0.25,G11="FAIL",0)</f>
        <v>1</v>
      </c>
    </row>
    <row r="12" spans="1:24" ht="22.5" customHeight="1" x14ac:dyDescent="0.25">
      <c r="A12" s="13" t="s">
        <v>23</v>
      </c>
      <c r="B12" s="13" t="s">
        <v>10</v>
      </c>
      <c r="C12" s="14" t="s">
        <v>11</v>
      </c>
      <c r="D12" s="13">
        <v>689</v>
      </c>
      <c r="E12" s="15" t="s">
        <v>26</v>
      </c>
      <c r="F12" s="16" t="s">
        <v>13</v>
      </c>
      <c r="G12" s="17" t="s">
        <v>14</v>
      </c>
      <c r="H12" s="17" t="s">
        <v>14</v>
      </c>
      <c r="I12" s="17" t="s">
        <v>14</v>
      </c>
      <c r="J12" s="17" t="s">
        <v>14</v>
      </c>
      <c r="K12" s="13"/>
      <c r="L12" s="13"/>
      <c r="M12" cm="1">
        <f t="array" ref="M12">_xlfn.IFS(J12="PASS",1,I12="PASS",0.75,H12="PASS",0.5,G12="PASS",0.25,G12="FAIL",0)</f>
        <v>1</v>
      </c>
      <c r="N12" s="13"/>
      <c r="O12" s="13"/>
      <c r="P12" s="13"/>
      <c r="Q12" s="13"/>
    </row>
    <row r="13" spans="1:24" ht="22.5" customHeight="1" x14ac:dyDescent="0.25">
      <c r="A13" s="7" t="s">
        <v>9</v>
      </c>
      <c r="B13" s="7" t="s">
        <v>10</v>
      </c>
      <c r="C13" s="8" t="s">
        <v>11</v>
      </c>
      <c r="D13" s="7">
        <v>689</v>
      </c>
      <c r="E13" s="9" t="s">
        <v>12</v>
      </c>
      <c r="F13" s="8" t="s">
        <v>27</v>
      </c>
      <c r="G13" s="11" t="s">
        <v>14</v>
      </c>
      <c r="H13" s="11" t="s">
        <v>14</v>
      </c>
      <c r="I13" s="11" t="s">
        <v>14</v>
      </c>
      <c r="J13" s="11" t="s">
        <v>14</v>
      </c>
      <c r="M13" cm="1">
        <f t="array" ref="M13">_xlfn.IFS(J13="PASS",1,I13="PASS",0.75,H13="PASS",0.5,G13="PASS",0.25,G13="FAIL",0)</f>
        <v>1</v>
      </c>
    </row>
    <row r="14" spans="1:24" ht="22.5" customHeight="1" x14ac:dyDescent="0.25">
      <c r="A14" s="7" t="s">
        <v>15</v>
      </c>
      <c r="B14" s="7" t="s">
        <v>10</v>
      </c>
      <c r="C14" s="8" t="s">
        <v>11</v>
      </c>
      <c r="D14" s="7">
        <v>738</v>
      </c>
      <c r="E14" s="9" t="s">
        <v>16</v>
      </c>
      <c r="F14" s="8" t="s">
        <v>27</v>
      </c>
      <c r="G14" s="11" t="s">
        <v>14</v>
      </c>
      <c r="H14" s="11" t="s">
        <v>14</v>
      </c>
      <c r="I14" s="11" t="s">
        <v>14</v>
      </c>
      <c r="J14" s="11" t="s">
        <v>14</v>
      </c>
      <c r="M14" cm="1">
        <f t="array" ref="M14">_xlfn.IFS(J14="PASS",1,I14="PASS",0.75,H14="PASS",0.5,G14="PASS",0.25,G14="FAIL",0)</f>
        <v>1</v>
      </c>
    </row>
    <row r="15" spans="1:24" ht="22.5" customHeight="1" x14ac:dyDescent="0.25">
      <c r="A15" s="7" t="s">
        <v>15</v>
      </c>
      <c r="B15" s="7" t="s">
        <v>10</v>
      </c>
      <c r="C15" s="8" t="s">
        <v>11</v>
      </c>
      <c r="D15" s="7">
        <v>738</v>
      </c>
      <c r="E15" s="9" t="s">
        <v>18</v>
      </c>
      <c r="F15" s="8" t="s">
        <v>27</v>
      </c>
      <c r="G15" s="11" t="s">
        <v>14</v>
      </c>
      <c r="H15" s="11" t="s">
        <v>14</v>
      </c>
      <c r="I15" s="11" t="s">
        <v>14</v>
      </c>
      <c r="J15" s="11" t="s">
        <v>14</v>
      </c>
      <c r="M15" cm="1">
        <f t="array" ref="M15">_xlfn.IFS(J15="PASS",1,I15="PASS",0.75,H15="PASS",0.5,G15="PASS",0.25,G15="FAIL",0)</f>
        <v>1</v>
      </c>
    </row>
    <row r="16" spans="1:24" ht="22.5" customHeight="1" x14ac:dyDescent="0.25">
      <c r="A16" s="7" t="s">
        <v>19</v>
      </c>
      <c r="B16" s="7" t="s">
        <v>10</v>
      </c>
      <c r="C16" s="8" t="s">
        <v>11</v>
      </c>
      <c r="D16" s="7">
        <v>715</v>
      </c>
      <c r="E16" s="9" t="s">
        <v>20</v>
      </c>
      <c r="F16" s="8" t="s">
        <v>27</v>
      </c>
      <c r="G16" s="11" t="s">
        <v>14</v>
      </c>
      <c r="H16" s="11" t="s">
        <v>14</v>
      </c>
      <c r="I16" s="12" t="s">
        <v>17</v>
      </c>
      <c r="J16" s="12" t="s">
        <v>17</v>
      </c>
      <c r="M16" cm="1">
        <f t="array" ref="M16">_xlfn.IFS(J16="PASS",1,I16="PASS",0.75,H16="PASS",0.5,G16="PASS",0.25,G16="FAIL",0)</f>
        <v>0.5</v>
      </c>
    </row>
    <row r="17" spans="1:17" ht="22.5" customHeight="1" x14ac:dyDescent="0.25">
      <c r="A17" s="7" t="s">
        <v>19</v>
      </c>
      <c r="B17" s="7" t="s">
        <v>10</v>
      </c>
      <c r="C17" s="8" t="s">
        <v>11</v>
      </c>
      <c r="D17" s="7">
        <v>715</v>
      </c>
      <c r="E17" s="9" t="s">
        <v>21</v>
      </c>
      <c r="F17" s="8" t="s">
        <v>27</v>
      </c>
      <c r="G17" s="11" t="s">
        <v>14</v>
      </c>
      <c r="H17" s="11" t="s">
        <v>14</v>
      </c>
      <c r="I17" s="11" t="s">
        <v>14</v>
      </c>
      <c r="J17" s="11" t="s">
        <v>14</v>
      </c>
      <c r="M17" cm="1">
        <f t="array" ref="M17">_xlfn.IFS(J17="PASS",1,I17="PASS",0.75,H17="PASS",0.5,G17="PASS",0.25,G17="FAIL",0)</f>
        <v>1</v>
      </c>
    </row>
    <row r="18" spans="1:17" ht="22.5" customHeight="1" x14ac:dyDescent="0.25">
      <c r="A18" s="7" t="s">
        <v>19</v>
      </c>
      <c r="B18" s="7" t="s">
        <v>10</v>
      </c>
      <c r="C18" s="8" t="s">
        <v>11</v>
      </c>
      <c r="D18" s="7">
        <v>715</v>
      </c>
      <c r="E18" s="9" t="s">
        <v>22</v>
      </c>
      <c r="F18" s="8" t="s">
        <v>27</v>
      </c>
      <c r="G18" s="11" t="s">
        <v>14</v>
      </c>
      <c r="H18" s="11" t="s">
        <v>14</v>
      </c>
      <c r="I18" s="11" t="s">
        <v>14</v>
      </c>
      <c r="J18" s="11" t="s">
        <v>14</v>
      </c>
      <c r="M18" cm="1">
        <f t="array" ref="M18">_xlfn.IFS(J18="PASS",1,I18="PASS",0.75,H18="PASS",0.5,G18="PASS",0.25,G18="FAIL",0)</f>
        <v>1</v>
      </c>
    </row>
    <row r="19" spans="1:17" ht="22.5" customHeight="1" x14ac:dyDescent="0.25">
      <c r="A19" s="7" t="s">
        <v>23</v>
      </c>
      <c r="B19" s="7" t="s">
        <v>10</v>
      </c>
      <c r="C19" s="8" t="s">
        <v>11</v>
      </c>
      <c r="D19" s="7">
        <v>689</v>
      </c>
      <c r="E19" s="9" t="s">
        <v>24</v>
      </c>
      <c r="F19" s="8" t="s">
        <v>27</v>
      </c>
      <c r="G19" s="12" t="s">
        <v>17</v>
      </c>
      <c r="H19" s="12" t="s">
        <v>17</v>
      </c>
      <c r="I19" s="12" t="s">
        <v>17</v>
      </c>
      <c r="J19" s="12" t="s">
        <v>17</v>
      </c>
      <c r="M19" cm="1">
        <f t="array" ref="M19">_xlfn.IFS(J19="PASS",1,I19="PASS",0.75,H19="PASS",0.5,G19="PASS",0.25,G19="FAIL",0)</f>
        <v>0</v>
      </c>
    </row>
    <row r="20" spans="1:17" ht="22.5" customHeight="1" x14ac:dyDescent="0.25">
      <c r="A20" s="7" t="s">
        <v>23</v>
      </c>
      <c r="B20" s="7" t="s">
        <v>10</v>
      </c>
      <c r="C20" s="8" t="s">
        <v>11</v>
      </c>
      <c r="D20" s="7">
        <v>689</v>
      </c>
      <c r="E20" s="9" t="s">
        <v>25</v>
      </c>
      <c r="F20" s="8" t="s">
        <v>27</v>
      </c>
      <c r="G20" s="11" t="s">
        <v>14</v>
      </c>
      <c r="H20" s="11" t="s">
        <v>14</v>
      </c>
      <c r="I20" s="11" t="s">
        <v>14</v>
      </c>
      <c r="J20" s="11" t="s">
        <v>14</v>
      </c>
      <c r="M20" cm="1">
        <f t="array" ref="M20">_xlfn.IFS(J20="PASS",1,I20="PASS",0.75,H20="PASS",0.5,G20="PASS",0.25,G20="FAIL",0)</f>
        <v>1</v>
      </c>
    </row>
    <row r="21" spans="1:17" ht="22.5" customHeight="1" x14ac:dyDescent="0.25">
      <c r="A21" s="13" t="s">
        <v>23</v>
      </c>
      <c r="B21" s="13" t="s">
        <v>10</v>
      </c>
      <c r="C21" s="14" t="s">
        <v>11</v>
      </c>
      <c r="D21" s="13">
        <v>689</v>
      </c>
      <c r="E21" s="15" t="s">
        <v>26</v>
      </c>
      <c r="F21" s="14" t="s">
        <v>27</v>
      </c>
      <c r="G21" s="17" t="s">
        <v>14</v>
      </c>
      <c r="H21" s="17" t="s">
        <v>14</v>
      </c>
      <c r="I21" s="17" t="s">
        <v>14</v>
      </c>
      <c r="J21" s="17" t="s">
        <v>14</v>
      </c>
      <c r="K21" s="13"/>
      <c r="L21" s="13"/>
      <c r="M21" cm="1">
        <f t="array" ref="M21">_xlfn.IFS(J21="PASS",1,I21="PASS",0.75,H21="PASS",0.5,G21="PASS",0.25,G21="FAIL",0)</f>
        <v>1</v>
      </c>
      <c r="N21" s="13"/>
      <c r="O21" s="13"/>
      <c r="P21" s="13"/>
      <c r="Q21" s="13"/>
    </row>
    <row r="22" spans="1:17" ht="22.5" customHeight="1" x14ac:dyDescent="0.25">
      <c r="A22" s="7" t="s">
        <v>9</v>
      </c>
      <c r="B22" s="7" t="s">
        <v>10</v>
      </c>
      <c r="C22" s="8" t="s">
        <v>11</v>
      </c>
      <c r="D22" s="7">
        <v>689</v>
      </c>
      <c r="E22" s="9" t="s">
        <v>12</v>
      </c>
      <c r="F22" s="18" t="s">
        <v>28</v>
      </c>
      <c r="G22" s="11" t="s">
        <v>14</v>
      </c>
      <c r="H22" s="11" t="s">
        <v>14</v>
      </c>
      <c r="I22" s="11" t="s">
        <v>14</v>
      </c>
      <c r="J22" s="11" t="s">
        <v>14</v>
      </c>
      <c r="M22" cm="1">
        <f t="array" ref="M22">_xlfn.IFS(J22="PASS",1,I22="PASS",0.75,H22="PASS",0.5,G22="PASS",0.25,G22="FAIL",0)</f>
        <v>1</v>
      </c>
    </row>
    <row r="23" spans="1:17" ht="22.5" customHeight="1" x14ac:dyDescent="0.25">
      <c r="A23" s="7" t="s">
        <v>15</v>
      </c>
      <c r="B23" s="7" t="s">
        <v>10</v>
      </c>
      <c r="C23" s="8" t="s">
        <v>11</v>
      </c>
      <c r="D23" s="7">
        <v>738</v>
      </c>
      <c r="E23" s="9" t="s">
        <v>16</v>
      </c>
      <c r="F23" s="18" t="s">
        <v>28</v>
      </c>
      <c r="G23" s="11" t="s">
        <v>14</v>
      </c>
      <c r="H23" s="11" t="s">
        <v>14</v>
      </c>
      <c r="I23" s="11" t="s">
        <v>14</v>
      </c>
      <c r="J23" s="11" t="s">
        <v>14</v>
      </c>
      <c r="M23" cm="1">
        <f t="array" ref="M23">_xlfn.IFS(J23="PASS",1,I23="PASS",0.75,H23="PASS",0.5,G23="PASS",0.25,G23="FAIL",0)</f>
        <v>1</v>
      </c>
    </row>
    <row r="24" spans="1:17" ht="22.5" customHeight="1" x14ac:dyDescent="0.25">
      <c r="A24" s="7" t="s">
        <v>15</v>
      </c>
      <c r="B24" s="7" t="s">
        <v>10</v>
      </c>
      <c r="C24" s="8" t="s">
        <v>11</v>
      </c>
      <c r="D24" s="7">
        <v>738</v>
      </c>
      <c r="E24" s="9" t="s">
        <v>18</v>
      </c>
      <c r="F24" s="18" t="s">
        <v>28</v>
      </c>
      <c r="G24" s="11" t="s">
        <v>14</v>
      </c>
      <c r="H24" s="11" t="s">
        <v>14</v>
      </c>
      <c r="I24" s="11" t="s">
        <v>14</v>
      </c>
      <c r="J24" s="11" t="s">
        <v>14</v>
      </c>
      <c r="M24" cm="1">
        <f t="array" ref="M24">_xlfn.IFS(J24="PASS",1,I24="PASS",0.75,H24="PASS",0.5,G24="PASS",0.25,G24="FAIL",0)</f>
        <v>1</v>
      </c>
    </row>
    <row r="25" spans="1:17" ht="22.5" customHeight="1" x14ac:dyDescent="0.25">
      <c r="A25" s="7" t="s">
        <v>19</v>
      </c>
      <c r="B25" s="7" t="s">
        <v>10</v>
      </c>
      <c r="C25" s="8" t="s">
        <v>11</v>
      </c>
      <c r="D25" s="7">
        <v>715</v>
      </c>
      <c r="E25" s="9" t="s">
        <v>20</v>
      </c>
      <c r="F25" s="18" t="s">
        <v>28</v>
      </c>
      <c r="G25" s="11" t="s">
        <v>14</v>
      </c>
      <c r="H25" s="11" t="s">
        <v>14</v>
      </c>
      <c r="I25" s="12" t="s">
        <v>17</v>
      </c>
      <c r="J25" s="12" t="s">
        <v>17</v>
      </c>
      <c r="M25" cm="1">
        <f t="array" ref="M25">_xlfn.IFS(J25="PASS",1,I25="PASS",0.75,H25="PASS",0.5,G25="PASS",0.25,G25="FAIL",0)</f>
        <v>0.5</v>
      </c>
    </row>
    <row r="26" spans="1:17" ht="22.5" customHeight="1" x14ac:dyDescent="0.25">
      <c r="A26" s="7" t="s">
        <v>19</v>
      </c>
      <c r="B26" s="7" t="s">
        <v>10</v>
      </c>
      <c r="C26" s="8" t="s">
        <v>11</v>
      </c>
      <c r="D26" s="7">
        <v>715</v>
      </c>
      <c r="E26" s="9" t="s">
        <v>21</v>
      </c>
      <c r="F26" s="18" t="s">
        <v>28</v>
      </c>
      <c r="G26" s="11" t="s">
        <v>14</v>
      </c>
      <c r="H26" s="11" t="s">
        <v>14</v>
      </c>
      <c r="I26" s="11" t="s">
        <v>14</v>
      </c>
      <c r="J26" s="11" t="s">
        <v>14</v>
      </c>
      <c r="M26" cm="1">
        <f t="array" ref="M26">_xlfn.IFS(J26="PASS",1,I26="PASS",0.75,H26="PASS",0.5,G26="PASS",0.25,G26="FAIL",0)</f>
        <v>1</v>
      </c>
    </row>
    <row r="27" spans="1:17" ht="22.5" customHeight="1" x14ac:dyDescent="0.25">
      <c r="A27" s="7" t="s">
        <v>19</v>
      </c>
      <c r="B27" s="7" t="s">
        <v>10</v>
      </c>
      <c r="C27" s="8" t="s">
        <v>11</v>
      </c>
      <c r="D27" s="7">
        <v>715</v>
      </c>
      <c r="E27" s="9" t="s">
        <v>22</v>
      </c>
      <c r="F27" s="18" t="s">
        <v>28</v>
      </c>
      <c r="G27" s="11" t="s">
        <v>14</v>
      </c>
      <c r="H27" s="11" t="s">
        <v>14</v>
      </c>
      <c r="I27" s="11" t="s">
        <v>14</v>
      </c>
      <c r="J27" s="11" t="s">
        <v>14</v>
      </c>
      <c r="M27" cm="1">
        <f t="array" ref="M27">_xlfn.IFS(J27="PASS",1,I27="PASS",0.75,H27="PASS",0.5,G27="PASS",0.25,G27="FAIL",0)</f>
        <v>1</v>
      </c>
    </row>
    <row r="28" spans="1:17" ht="22.5" customHeight="1" x14ac:dyDescent="0.25">
      <c r="A28" s="7" t="s">
        <v>23</v>
      </c>
      <c r="B28" s="7" t="s">
        <v>10</v>
      </c>
      <c r="C28" s="8" t="s">
        <v>11</v>
      </c>
      <c r="D28" s="7">
        <v>689</v>
      </c>
      <c r="E28" s="9" t="s">
        <v>24</v>
      </c>
      <c r="F28" s="18" t="s">
        <v>28</v>
      </c>
      <c r="G28" s="12" t="s">
        <v>17</v>
      </c>
      <c r="H28" s="12" t="s">
        <v>17</v>
      </c>
      <c r="I28" s="12" t="s">
        <v>17</v>
      </c>
      <c r="J28" s="12" t="s">
        <v>17</v>
      </c>
      <c r="M28" cm="1">
        <f t="array" ref="M28">_xlfn.IFS(J28="PASS",1,I28="PASS",0.75,H28="PASS",0.5,G28="PASS",0.25,G28="FAIL",0)</f>
        <v>0</v>
      </c>
    </row>
    <row r="29" spans="1:17" ht="22.5" customHeight="1" x14ac:dyDescent="0.25">
      <c r="A29" s="7" t="s">
        <v>23</v>
      </c>
      <c r="B29" s="7" t="s">
        <v>10</v>
      </c>
      <c r="C29" s="8" t="s">
        <v>11</v>
      </c>
      <c r="D29" s="7">
        <v>689</v>
      </c>
      <c r="E29" s="9" t="s">
        <v>25</v>
      </c>
      <c r="F29" s="18" t="s">
        <v>28</v>
      </c>
      <c r="G29" s="11" t="s">
        <v>14</v>
      </c>
      <c r="H29" s="11" t="s">
        <v>14</v>
      </c>
      <c r="I29" s="11" t="s">
        <v>14</v>
      </c>
      <c r="J29" s="11" t="s">
        <v>14</v>
      </c>
      <c r="M29" cm="1">
        <f t="array" ref="M29">_xlfn.IFS(J29="PASS",1,I29="PASS",0.75,H29="PASS",0.5,G29="PASS",0.25,G29="FAIL",0)</f>
        <v>1</v>
      </c>
    </row>
    <row r="30" spans="1:17" ht="22.5" customHeight="1" x14ac:dyDescent="0.25">
      <c r="A30" s="13" t="s">
        <v>23</v>
      </c>
      <c r="B30" s="13" t="s">
        <v>10</v>
      </c>
      <c r="C30" s="14" t="s">
        <v>11</v>
      </c>
      <c r="D30" s="13">
        <v>689</v>
      </c>
      <c r="E30" s="15" t="s">
        <v>26</v>
      </c>
      <c r="F30" s="19" t="s">
        <v>28</v>
      </c>
      <c r="G30" s="28" t="s">
        <v>17</v>
      </c>
      <c r="H30" s="28" t="s">
        <v>17</v>
      </c>
      <c r="I30" s="28" t="s">
        <v>17</v>
      </c>
      <c r="J30" s="28" t="s">
        <v>17</v>
      </c>
      <c r="K30" s="13"/>
      <c r="L30" s="13"/>
      <c r="M30" cm="1">
        <f t="array" ref="M30">_xlfn.IFS(J30="PASS",1,I30="PASS",0.75,H30="PASS",0.5,G30="PASS",0.25,G30="FAIL",0)</f>
        <v>0</v>
      </c>
      <c r="N30" s="13"/>
      <c r="O30" s="13"/>
      <c r="P30" s="13"/>
      <c r="Q30" s="13"/>
    </row>
    <row r="31" spans="1:17" ht="22.5" customHeight="1" x14ac:dyDescent="0.25">
      <c r="A31" s="7" t="s">
        <v>9</v>
      </c>
      <c r="B31" s="7" t="s">
        <v>10</v>
      </c>
      <c r="C31" s="8" t="s">
        <v>11</v>
      </c>
      <c r="D31" s="7">
        <v>689</v>
      </c>
      <c r="E31" s="9" t="s">
        <v>12</v>
      </c>
      <c r="F31" s="20" t="s">
        <v>29</v>
      </c>
      <c r="G31" s="11" t="s">
        <v>14</v>
      </c>
      <c r="H31" s="11" t="s">
        <v>14</v>
      </c>
      <c r="I31" s="11" t="s">
        <v>14</v>
      </c>
      <c r="J31" s="11" t="s">
        <v>14</v>
      </c>
      <c r="M31" cm="1">
        <f t="array" ref="M31">_xlfn.IFS(J31="PASS",1,I31="PASS",0.75,H31="PASS",0.5,G31="PASS",0.25,G31="FAIL",0)</f>
        <v>1</v>
      </c>
    </row>
    <row r="32" spans="1:17" ht="22.5" customHeight="1" x14ac:dyDescent="0.25">
      <c r="A32" s="7" t="s">
        <v>15</v>
      </c>
      <c r="B32" s="7" t="s">
        <v>10</v>
      </c>
      <c r="C32" s="8" t="s">
        <v>11</v>
      </c>
      <c r="D32" s="7">
        <v>738</v>
      </c>
      <c r="E32" s="9" t="s">
        <v>16</v>
      </c>
      <c r="F32" s="20" t="s">
        <v>29</v>
      </c>
      <c r="G32" s="11" t="s">
        <v>14</v>
      </c>
      <c r="H32" s="11" t="s">
        <v>14</v>
      </c>
      <c r="I32" s="11" t="s">
        <v>14</v>
      </c>
      <c r="J32" s="11" t="s">
        <v>14</v>
      </c>
      <c r="M32" cm="1">
        <f t="array" ref="M32">_xlfn.IFS(J32="PASS",1,I32="PASS",0.75,H32="PASS",0.5,G32="PASS",0.25,G32="FAIL",0)</f>
        <v>1</v>
      </c>
    </row>
    <row r="33" spans="1:13" ht="22.5" customHeight="1" x14ac:dyDescent="0.25">
      <c r="A33" s="7" t="s">
        <v>15</v>
      </c>
      <c r="B33" s="7" t="s">
        <v>10</v>
      </c>
      <c r="C33" s="8" t="s">
        <v>11</v>
      </c>
      <c r="D33" s="7">
        <v>738</v>
      </c>
      <c r="E33" s="9" t="s">
        <v>18</v>
      </c>
      <c r="F33" s="20" t="s">
        <v>29</v>
      </c>
      <c r="G33" s="11" t="s">
        <v>14</v>
      </c>
      <c r="H33" s="11" t="s">
        <v>14</v>
      </c>
      <c r="I33" s="11" t="s">
        <v>14</v>
      </c>
      <c r="J33" s="11" t="s">
        <v>14</v>
      </c>
      <c r="M33" cm="1">
        <f t="array" ref="M33">_xlfn.IFS(J33="PASS",1,I33="PASS",0.75,H33="PASS",0.5,G33="PASS",0.25,G33="FAIL",0)</f>
        <v>1</v>
      </c>
    </row>
    <row r="34" spans="1:13" ht="22.5" customHeight="1" x14ac:dyDescent="0.25">
      <c r="A34" s="7" t="s">
        <v>19</v>
      </c>
      <c r="B34" s="7" t="s">
        <v>10</v>
      </c>
      <c r="C34" s="8" t="s">
        <v>11</v>
      </c>
      <c r="D34" s="7">
        <v>715</v>
      </c>
      <c r="E34" s="9" t="s">
        <v>20</v>
      </c>
      <c r="F34" s="20" t="s">
        <v>29</v>
      </c>
      <c r="G34" s="11" t="s">
        <v>14</v>
      </c>
      <c r="H34" s="11" t="s">
        <v>14</v>
      </c>
      <c r="I34" s="11" t="s">
        <v>14</v>
      </c>
      <c r="J34" s="11" t="s">
        <v>14</v>
      </c>
      <c r="M34" cm="1">
        <f t="array" ref="M34">_xlfn.IFS(J34="PASS",1,I34="PASS",0.75,H34="PASS",0.5,G34="PASS",0.25,G34="FAIL",0)</f>
        <v>1</v>
      </c>
    </row>
    <row r="35" spans="1:13" ht="22.5" customHeight="1" x14ac:dyDescent="0.25">
      <c r="A35" s="7" t="s">
        <v>19</v>
      </c>
      <c r="B35" s="7" t="s">
        <v>10</v>
      </c>
      <c r="C35" s="8" t="s">
        <v>11</v>
      </c>
      <c r="D35" s="7">
        <v>715</v>
      </c>
      <c r="E35" s="9" t="s">
        <v>21</v>
      </c>
      <c r="F35" s="20" t="s">
        <v>29</v>
      </c>
      <c r="G35" s="11" t="s">
        <v>14</v>
      </c>
      <c r="H35" s="11" t="s">
        <v>14</v>
      </c>
      <c r="I35" s="11" t="s">
        <v>14</v>
      </c>
      <c r="J35" s="11" t="s">
        <v>14</v>
      </c>
      <c r="M35" cm="1">
        <f t="array" ref="M35">_xlfn.IFS(J35="PASS",1,I35="PASS",0.75,H35="PASS",0.5,G35="PASS",0.25,G35="FAIL",0)</f>
        <v>1</v>
      </c>
    </row>
    <row r="36" spans="1:13" ht="22.5" customHeight="1" x14ac:dyDescent="0.25">
      <c r="A36" s="7" t="s">
        <v>19</v>
      </c>
      <c r="B36" s="7" t="s">
        <v>10</v>
      </c>
      <c r="C36" s="8" t="s">
        <v>11</v>
      </c>
      <c r="D36" s="7">
        <v>715</v>
      </c>
      <c r="E36" s="9" t="s">
        <v>22</v>
      </c>
      <c r="F36" s="20" t="s">
        <v>29</v>
      </c>
      <c r="G36" s="11" t="s">
        <v>14</v>
      </c>
      <c r="H36" s="11" t="s">
        <v>14</v>
      </c>
      <c r="I36" s="11" t="s">
        <v>14</v>
      </c>
      <c r="J36" s="11" t="s">
        <v>14</v>
      </c>
      <c r="M36" cm="1">
        <f t="array" ref="M36">_xlfn.IFS(J36="PASS",1,I36="PASS",0.75,H36="PASS",0.5,G36="PASS",0.25,G36="FAIL",0)</f>
        <v>1</v>
      </c>
    </row>
    <row r="37" spans="1:13" ht="22.5" customHeight="1" x14ac:dyDescent="0.25">
      <c r="A37" s="7" t="s">
        <v>23</v>
      </c>
      <c r="B37" s="7" t="s">
        <v>10</v>
      </c>
      <c r="C37" s="8" t="s">
        <v>11</v>
      </c>
      <c r="D37" s="7">
        <v>689</v>
      </c>
      <c r="E37" s="9" t="s">
        <v>24</v>
      </c>
      <c r="F37" s="20" t="s">
        <v>29</v>
      </c>
      <c r="G37" s="12" t="s">
        <v>17</v>
      </c>
      <c r="H37" s="12" t="s">
        <v>17</v>
      </c>
      <c r="I37" s="12" t="s">
        <v>17</v>
      </c>
      <c r="J37" s="12" t="s">
        <v>17</v>
      </c>
      <c r="M37" cm="1">
        <f t="array" ref="M37">_xlfn.IFS(J37="PASS",1,I37="PASS",0.75,H37="PASS",0.5,G37="PASS",0.25,G37="FAIL",0)</f>
        <v>0</v>
      </c>
    </row>
    <row r="38" spans="1:13" ht="22.5" customHeight="1" x14ac:dyDescent="0.25">
      <c r="A38" s="7" t="s">
        <v>23</v>
      </c>
      <c r="B38" s="7" t="s">
        <v>10</v>
      </c>
      <c r="C38" s="8" t="s">
        <v>11</v>
      </c>
      <c r="D38" s="7">
        <v>689</v>
      </c>
      <c r="E38" s="9" t="s">
        <v>25</v>
      </c>
      <c r="F38" s="20" t="s">
        <v>29</v>
      </c>
      <c r="G38" s="11" t="s">
        <v>14</v>
      </c>
      <c r="H38" s="11" t="s">
        <v>14</v>
      </c>
      <c r="I38" s="11" t="s">
        <v>14</v>
      </c>
      <c r="J38" s="11" t="s">
        <v>14</v>
      </c>
      <c r="M38" cm="1">
        <f t="array" ref="M38">_xlfn.IFS(J38="PASS",1,I38="PASS",0.75,H38="PASS",0.5,G38="PASS",0.25,G38="FAIL",0)</f>
        <v>1</v>
      </c>
    </row>
    <row r="39" spans="1:13" ht="22.5" customHeight="1" x14ac:dyDescent="0.25">
      <c r="A39" s="7" t="s">
        <v>23</v>
      </c>
      <c r="B39" s="7" t="s">
        <v>10</v>
      </c>
      <c r="C39" s="8" t="s">
        <v>11</v>
      </c>
      <c r="D39" s="13">
        <v>689</v>
      </c>
      <c r="E39" s="9" t="s">
        <v>26</v>
      </c>
      <c r="F39" s="20" t="s">
        <v>29</v>
      </c>
      <c r="G39" s="11" t="s">
        <v>14</v>
      </c>
      <c r="H39" s="11" t="s">
        <v>14</v>
      </c>
      <c r="I39" s="11" t="s">
        <v>14</v>
      </c>
      <c r="J39" s="11" t="s">
        <v>14</v>
      </c>
      <c r="M39" cm="1">
        <f t="array" ref="M39">_xlfn.IFS(J39="PASS",1,I39="PASS",0.75,H39="PASS",0.5,G39="PASS",0.25,G39="FAIL",0)</f>
        <v>1</v>
      </c>
    </row>
    <row r="40" spans="1:13" ht="12.5" x14ac:dyDescent="0.25">
      <c r="G40" s="21">
        <f t="shared" ref="G40:J40" si="0">(COUNTIF(G4:G39,"PASS") / (COUNTIF(G4:G39,"PASS") + COUNTIF(G4:G39,"FAIL"))) * 100</f>
        <v>83.333333333333343</v>
      </c>
      <c r="H40" s="21">
        <f t="shared" si="0"/>
        <v>83.333333333333343</v>
      </c>
      <c r="I40" s="21">
        <f t="shared" si="0"/>
        <v>77.777777777777786</v>
      </c>
      <c r="J40" s="21">
        <f t="shared" si="0"/>
        <v>77.777777777777786</v>
      </c>
      <c r="M40" t="e" cm="1">
        <f t="array" ref="M40">_xlfn.IFS(J40="PASS",1,I40="PASS",0.75,H40="PASS",0.5,G40="PASS",0.25,G40="FAIL",0)</f>
        <v>#N/A</v>
      </c>
    </row>
    <row r="41" spans="1:13" ht="12.5" x14ac:dyDescent="0.25">
      <c r="G41" s="22"/>
      <c r="H41" s="22"/>
      <c r="I41" s="22"/>
      <c r="J41" s="22"/>
    </row>
    <row r="46" spans="1:13" ht="12.5" x14ac:dyDescent="0.25">
      <c r="K46" s="7">
        <v>23</v>
      </c>
    </row>
    <row r="47" spans="1:13" ht="12.5" x14ac:dyDescent="0.25">
      <c r="K47" s="7" t="e">
        <f>G47/G46*K46</f>
        <v>#DIV/0!</v>
      </c>
    </row>
  </sheetData>
  <mergeCells count="3">
    <mergeCell ref="A2:D2"/>
    <mergeCell ref="E2:F2"/>
    <mergeCell ref="G2:L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X47"/>
  <sheetViews>
    <sheetView workbookViewId="0">
      <selection activeCell="M4" sqref="M4"/>
    </sheetView>
  </sheetViews>
  <sheetFormatPr defaultColWidth="12.6328125" defaultRowHeight="15.75" customHeight="1" x14ac:dyDescent="0.25"/>
  <cols>
    <col min="5" max="5" width="38.7265625" customWidth="1"/>
    <col min="11" max="12" width="12.6328125" hidden="1"/>
  </cols>
  <sheetData>
    <row r="2" spans="1:24" ht="21" customHeight="1" x14ac:dyDescent="0.35">
      <c r="A2" s="34" t="s">
        <v>0</v>
      </c>
      <c r="B2" s="35"/>
      <c r="C2" s="35"/>
      <c r="D2" s="35"/>
      <c r="E2" s="36"/>
      <c r="F2" s="35"/>
      <c r="G2" s="37"/>
      <c r="H2" s="35"/>
      <c r="I2" s="35"/>
      <c r="J2" s="35"/>
      <c r="K2" s="35"/>
      <c r="L2" s="35"/>
      <c r="M2" s="2"/>
      <c r="N2" s="2"/>
      <c r="O2" s="2"/>
      <c r="P2" s="2"/>
      <c r="Q2" s="2"/>
      <c r="R2" s="2"/>
      <c r="S2" s="2"/>
      <c r="T2" s="2"/>
      <c r="U2" s="2"/>
      <c r="V2" s="2"/>
      <c r="W2" s="2"/>
      <c r="X2" s="2"/>
    </row>
    <row r="3" spans="1:24" ht="20.25" customHeight="1" x14ac:dyDescent="0.3">
      <c r="A3" s="3" t="s">
        <v>2</v>
      </c>
      <c r="B3" s="3" t="s">
        <v>3</v>
      </c>
      <c r="C3" s="3" t="s">
        <v>4</v>
      </c>
      <c r="D3" s="3" t="s">
        <v>5</v>
      </c>
      <c r="E3" s="4" t="s">
        <v>1</v>
      </c>
      <c r="F3" s="3" t="s">
        <v>6</v>
      </c>
      <c r="G3" s="5">
        <v>0.25</v>
      </c>
      <c r="H3" s="5">
        <v>0.5</v>
      </c>
      <c r="I3" s="5">
        <v>0.75</v>
      </c>
      <c r="J3" s="5">
        <v>1</v>
      </c>
      <c r="K3" s="3" t="s">
        <v>7</v>
      </c>
      <c r="L3" s="3" t="s">
        <v>8</v>
      </c>
      <c r="M3" s="6"/>
      <c r="N3" s="6"/>
      <c r="O3" s="6"/>
      <c r="P3" s="6"/>
      <c r="Q3" s="6"/>
      <c r="R3" s="6"/>
      <c r="S3" s="6"/>
      <c r="T3" s="6"/>
      <c r="U3" s="6"/>
      <c r="V3" s="6"/>
      <c r="W3" s="6"/>
      <c r="X3" s="6"/>
    </row>
    <row r="4" spans="1:24" ht="22.5" customHeight="1" x14ac:dyDescent="0.25">
      <c r="A4" s="7" t="s">
        <v>9</v>
      </c>
      <c r="B4" s="7" t="s">
        <v>10</v>
      </c>
      <c r="C4" s="8" t="s">
        <v>11</v>
      </c>
      <c r="D4" s="7">
        <v>6856</v>
      </c>
      <c r="E4" s="9" t="s">
        <v>12</v>
      </c>
      <c r="F4" s="10" t="s">
        <v>13</v>
      </c>
      <c r="G4" s="11" t="s">
        <v>14</v>
      </c>
      <c r="H4" s="11" t="s">
        <v>14</v>
      </c>
      <c r="I4" s="11" t="s">
        <v>14</v>
      </c>
      <c r="J4" s="11" t="s">
        <v>14</v>
      </c>
      <c r="M4" cm="1">
        <f t="array" ref="M4">_xlfn.IFS(J4="PASS",1,I4="PASS",0.75,H4="PASS",0.5,G4="PASS",0.25,G4="FAIL",0)</f>
        <v>1</v>
      </c>
    </row>
    <row r="5" spans="1:24" ht="22.5" customHeight="1" x14ac:dyDescent="0.25">
      <c r="A5" s="7" t="s">
        <v>15</v>
      </c>
      <c r="B5" s="7" t="s">
        <v>10</v>
      </c>
      <c r="C5" s="8" t="s">
        <v>11</v>
      </c>
      <c r="D5" s="7">
        <v>6924</v>
      </c>
      <c r="E5" s="9" t="s">
        <v>16</v>
      </c>
      <c r="F5" s="10" t="s">
        <v>13</v>
      </c>
      <c r="G5" s="11" t="s">
        <v>14</v>
      </c>
      <c r="H5" s="11" t="s">
        <v>14</v>
      </c>
      <c r="I5" s="11" t="s">
        <v>14</v>
      </c>
      <c r="J5" s="11" t="s">
        <v>14</v>
      </c>
      <c r="M5" cm="1">
        <f t="array" ref="M5">_xlfn.IFS(J5="PASS",1,I5="PASS",0.75,H5="PASS",0.5,G5="PASS",0.25,G5="FAIL",0)</f>
        <v>1</v>
      </c>
    </row>
    <row r="6" spans="1:24" ht="22.5" customHeight="1" x14ac:dyDescent="0.25">
      <c r="A6" s="7" t="s">
        <v>15</v>
      </c>
      <c r="B6" s="7" t="s">
        <v>10</v>
      </c>
      <c r="C6" s="8" t="s">
        <v>11</v>
      </c>
      <c r="D6" s="7">
        <v>6924</v>
      </c>
      <c r="E6" s="9" t="s">
        <v>18</v>
      </c>
      <c r="F6" s="10" t="s">
        <v>13</v>
      </c>
      <c r="G6" s="11" t="s">
        <v>14</v>
      </c>
      <c r="H6" s="11" t="s">
        <v>14</v>
      </c>
      <c r="I6" s="11" t="s">
        <v>14</v>
      </c>
      <c r="J6" s="11" t="s">
        <v>14</v>
      </c>
      <c r="M6" cm="1">
        <f t="array" ref="M6">_xlfn.IFS(J6="PASS",1,I6="PASS",0.75,H6="PASS",0.5,G6="PASS",0.25,G6="FAIL",0)</f>
        <v>1</v>
      </c>
    </row>
    <row r="7" spans="1:24" ht="22.5" customHeight="1" x14ac:dyDescent="0.25">
      <c r="A7" s="7" t="s">
        <v>19</v>
      </c>
      <c r="B7" s="7" t="s">
        <v>10</v>
      </c>
      <c r="C7" s="8" t="s">
        <v>11</v>
      </c>
      <c r="D7" s="7">
        <v>6802</v>
      </c>
      <c r="E7" s="9" t="s">
        <v>20</v>
      </c>
      <c r="F7" s="10" t="s">
        <v>13</v>
      </c>
      <c r="G7" s="12" t="s">
        <v>17</v>
      </c>
      <c r="H7" s="12" t="s">
        <v>17</v>
      </c>
      <c r="I7" s="12" t="s">
        <v>17</v>
      </c>
      <c r="J7" s="12" t="s">
        <v>17</v>
      </c>
      <c r="M7" cm="1">
        <f t="array" ref="M7">_xlfn.IFS(J7="PASS",1,I7="PASS",0.75,H7="PASS",0.5,G7="PASS",0.25,G7="FAIL",0)</f>
        <v>0</v>
      </c>
    </row>
    <row r="8" spans="1:24" ht="22.5" customHeight="1" x14ac:dyDescent="0.25">
      <c r="A8" s="7" t="s">
        <v>19</v>
      </c>
      <c r="B8" s="7" t="s">
        <v>10</v>
      </c>
      <c r="C8" s="8" t="s">
        <v>11</v>
      </c>
      <c r="D8" s="7">
        <v>6802</v>
      </c>
      <c r="E8" s="9" t="s">
        <v>21</v>
      </c>
      <c r="F8" s="10" t="s">
        <v>13</v>
      </c>
      <c r="G8" s="12" t="s">
        <v>17</v>
      </c>
      <c r="H8" s="12" t="s">
        <v>17</v>
      </c>
      <c r="I8" s="12" t="s">
        <v>17</v>
      </c>
      <c r="J8" s="12" t="s">
        <v>17</v>
      </c>
      <c r="M8" cm="1">
        <f t="array" ref="M8">_xlfn.IFS(J8="PASS",1,I8="PASS",0.75,H8="PASS",0.5,G8="PASS",0.25,G8="FAIL",0)</f>
        <v>0</v>
      </c>
    </row>
    <row r="9" spans="1:24" ht="22.5" customHeight="1" x14ac:dyDescent="0.25">
      <c r="A9" s="7" t="s">
        <v>19</v>
      </c>
      <c r="B9" s="7" t="s">
        <v>10</v>
      </c>
      <c r="C9" s="8" t="s">
        <v>11</v>
      </c>
      <c r="D9" s="7">
        <v>6802</v>
      </c>
      <c r="E9" s="9" t="s">
        <v>22</v>
      </c>
      <c r="F9" s="10" t="s">
        <v>13</v>
      </c>
      <c r="G9" s="11" t="s">
        <v>14</v>
      </c>
      <c r="H9" s="11" t="s">
        <v>14</v>
      </c>
      <c r="I9" s="11" t="s">
        <v>14</v>
      </c>
      <c r="J9" s="11" t="s">
        <v>14</v>
      </c>
      <c r="M9" cm="1">
        <f t="array" ref="M9">_xlfn.IFS(J9="PASS",1,I9="PASS",0.75,H9="PASS",0.5,G9="PASS",0.25,G9="FAIL",0)</f>
        <v>1</v>
      </c>
    </row>
    <row r="10" spans="1:24" ht="22.5" customHeight="1" x14ac:dyDescent="0.25">
      <c r="A10" s="7" t="s">
        <v>23</v>
      </c>
      <c r="B10" s="7" t="s">
        <v>10</v>
      </c>
      <c r="C10" s="8" t="s">
        <v>11</v>
      </c>
      <c r="D10" s="7">
        <v>6866</v>
      </c>
      <c r="E10" s="9" t="s">
        <v>24</v>
      </c>
      <c r="F10" s="10" t="s">
        <v>13</v>
      </c>
      <c r="G10" s="11" t="s">
        <v>14</v>
      </c>
      <c r="H10" s="11" t="s">
        <v>14</v>
      </c>
      <c r="I10" s="11" t="s">
        <v>14</v>
      </c>
      <c r="J10" s="11" t="s">
        <v>14</v>
      </c>
      <c r="M10" cm="1">
        <f t="array" ref="M10">_xlfn.IFS(J10="PASS",1,I10="PASS",0.75,H10="PASS",0.5,G10="PASS",0.25,G10="FAIL",0)</f>
        <v>1</v>
      </c>
    </row>
    <row r="11" spans="1:24" ht="22.5" customHeight="1" x14ac:dyDescent="0.25">
      <c r="A11" s="7" t="s">
        <v>23</v>
      </c>
      <c r="B11" s="7" t="s">
        <v>10</v>
      </c>
      <c r="C11" s="8" t="s">
        <v>11</v>
      </c>
      <c r="D11" s="7">
        <v>6866</v>
      </c>
      <c r="E11" s="9" t="s">
        <v>25</v>
      </c>
      <c r="F11" s="10" t="s">
        <v>13</v>
      </c>
      <c r="G11" s="11" t="s">
        <v>14</v>
      </c>
      <c r="H11" s="11" t="s">
        <v>14</v>
      </c>
      <c r="I11" s="11" t="s">
        <v>14</v>
      </c>
      <c r="J11" s="11" t="s">
        <v>14</v>
      </c>
      <c r="M11" cm="1">
        <f t="array" ref="M11">_xlfn.IFS(J11="PASS",1,I11="PASS",0.75,H11="PASS",0.5,G11="PASS",0.25,G11="FAIL",0)</f>
        <v>1</v>
      </c>
    </row>
    <row r="12" spans="1:24" ht="22.5" customHeight="1" x14ac:dyDescent="0.25">
      <c r="A12" s="13" t="s">
        <v>23</v>
      </c>
      <c r="B12" s="13" t="s">
        <v>10</v>
      </c>
      <c r="C12" s="14" t="s">
        <v>11</v>
      </c>
      <c r="D12" s="13">
        <v>6866</v>
      </c>
      <c r="E12" s="15" t="s">
        <v>26</v>
      </c>
      <c r="F12" s="16" t="s">
        <v>13</v>
      </c>
      <c r="G12" s="17" t="s">
        <v>14</v>
      </c>
      <c r="H12" s="17" t="s">
        <v>14</v>
      </c>
      <c r="I12" s="17" t="s">
        <v>14</v>
      </c>
      <c r="J12" s="17" t="s">
        <v>14</v>
      </c>
      <c r="K12" s="13"/>
      <c r="L12" s="13"/>
      <c r="M12" cm="1">
        <f t="array" ref="M12">_xlfn.IFS(J12="PASS",1,I12="PASS",0.75,H12="PASS",0.5,G12="PASS",0.25,G12="FAIL",0)</f>
        <v>1</v>
      </c>
      <c r="N12" s="13"/>
      <c r="O12" s="13"/>
      <c r="P12" s="13"/>
      <c r="Q12" s="13"/>
    </row>
    <row r="13" spans="1:24" ht="22.5" customHeight="1" x14ac:dyDescent="0.25">
      <c r="A13" s="7" t="s">
        <v>9</v>
      </c>
      <c r="B13" s="7" t="s">
        <v>10</v>
      </c>
      <c r="C13" s="8" t="s">
        <v>11</v>
      </c>
      <c r="D13" s="7">
        <v>6856</v>
      </c>
      <c r="E13" s="9" t="s">
        <v>12</v>
      </c>
      <c r="F13" s="8" t="s">
        <v>27</v>
      </c>
      <c r="G13" s="11" t="s">
        <v>14</v>
      </c>
      <c r="H13" s="11" t="s">
        <v>14</v>
      </c>
      <c r="I13" s="11" t="s">
        <v>14</v>
      </c>
      <c r="J13" s="11" t="s">
        <v>14</v>
      </c>
      <c r="M13" cm="1">
        <f t="array" ref="M13">_xlfn.IFS(J13="PASS",1,I13="PASS",0.75,H13="PASS",0.5,G13="PASS",0.25,G13="FAIL",0)</f>
        <v>1</v>
      </c>
    </row>
    <row r="14" spans="1:24" ht="22.5" customHeight="1" x14ac:dyDescent="0.25">
      <c r="A14" s="7" t="s">
        <v>15</v>
      </c>
      <c r="B14" s="7" t="s">
        <v>10</v>
      </c>
      <c r="C14" s="8" t="s">
        <v>11</v>
      </c>
      <c r="D14" s="7">
        <v>6924</v>
      </c>
      <c r="E14" s="9" t="s">
        <v>16</v>
      </c>
      <c r="F14" s="8" t="s">
        <v>27</v>
      </c>
      <c r="G14" s="11" t="s">
        <v>14</v>
      </c>
      <c r="H14" s="11" t="s">
        <v>14</v>
      </c>
      <c r="I14" s="11" t="s">
        <v>14</v>
      </c>
      <c r="J14" s="11" t="s">
        <v>14</v>
      </c>
      <c r="M14" cm="1">
        <f t="array" ref="M14">_xlfn.IFS(J14="PASS",1,I14="PASS",0.75,H14="PASS",0.5,G14="PASS",0.25,G14="FAIL",0)</f>
        <v>1</v>
      </c>
    </row>
    <row r="15" spans="1:24" ht="22.5" customHeight="1" x14ac:dyDescent="0.25">
      <c r="A15" s="7" t="s">
        <v>15</v>
      </c>
      <c r="B15" s="7" t="s">
        <v>10</v>
      </c>
      <c r="C15" s="8" t="s">
        <v>11</v>
      </c>
      <c r="D15" s="7">
        <v>6924</v>
      </c>
      <c r="E15" s="9" t="s">
        <v>18</v>
      </c>
      <c r="F15" s="8" t="s">
        <v>27</v>
      </c>
      <c r="G15" s="11" t="s">
        <v>14</v>
      </c>
      <c r="H15" s="11" t="s">
        <v>14</v>
      </c>
      <c r="I15" s="11" t="s">
        <v>14</v>
      </c>
      <c r="J15" s="11" t="s">
        <v>14</v>
      </c>
      <c r="M15" cm="1">
        <f t="array" ref="M15">_xlfn.IFS(J15="PASS",1,I15="PASS",0.75,H15="PASS",0.5,G15="PASS",0.25,G15="FAIL",0)</f>
        <v>1</v>
      </c>
    </row>
    <row r="16" spans="1:24" ht="22.5" customHeight="1" x14ac:dyDescent="0.25">
      <c r="A16" s="7" t="s">
        <v>19</v>
      </c>
      <c r="B16" s="7" t="s">
        <v>10</v>
      </c>
      <c r="C16" s="8" t="s">
        <v>11</v>
      </c>
      <c r="D16" s="7">
        <v>6802</v>
      </c>
      <c r="E16" s="9" t="s">
        <v>20</v>
      </c>
      <c r="F16" s="8" t="s">
        <v>27</v>
      </c>
      <c r="G16" s="11" t="s">
        <v>14</v>
      </c>
      <c r="H16" s="11" t="s">
        <v>14</v>
      </c>
      <c r="I16" s="11" t="s">
        <v>14</v>
      </c>
      <c r="J16" s="12" t="s">
        <v>17</v>
      </c>
      <c r="M16" cm="1">
        <f t="array" ref="M16">_xlfn.IFS(J16="PASS",1,I16="PASS",0.75,H16="PASS",0.5,G16="PASS",0.25,G16="FAIL",0)</f>
        <v>0.75</v>
      </c>
    </row>
    <row r="17" spans="1:17" ht="22.5" customHeight="1" x14ac:dyDescent="0.25">
      <c r="A17" s="7" t="s">
        <v>19</v>
      </c>
      <c r="B17" s="7" t="s">
        <v>10</v>
      </c>
      <c r="C17" s="8" t="s">
        <v>11</v>
      </c>
      <c r="D17" s="7">
        <v>6802</v>
      </c>
      <c r="E17" s="9" t="s">
        <v>21</v>
      </c>
      <c r="F17" s="8" t="s">
        <v>27</v>
      </c>
      <c r="G17" s="11" t="s">
        <v>14</v>
      </c>
      <c r="H17" s="11" t="s">
        <v>14</v>
      </c>
      <c r="I17" s="11" t="s">
        <v>14</v>
      </c>
      <c r="J17" s="11" t="s">
        <v>14</v>
      </c>
      <c r="M17" cm="1">
        <f t="array" ref="M17">_xlfn.IFS(J17="PASS",1,I17="PASS",0.75,H17="PASS",0.5,G17="PASS",0.25,G17="FAIL",0)</f>
        <v>1</v>
      </c>
    </row>
    <row r="18" spans="1:17" ht="22.5" customHeight="1" x14ac:dyDescent="0.25">
      <c r="A18" s="7" t="s">
        <v>19</v>
      </c>
      <c r="B18" s="7" t="s">
        <v>10</v>
      </c>
      <c r="C18" s="8" t="s">
        <v>11</v>
      </c>
      <c r="D18" s="7">
        <v>6802</v>
      </c>
      <c r="E18" s="9" t="s">
        <v>22</v>
      </c>
      <c r="F18" s="8" t="s">
        <v>27</v>
      </c>
      <c r="G18" s="11" t="s">
        <v>14</v>
      </c>
      <c r="H18" s="11" t="s">
        <v>14</v>
      </c>
      <c r="I18" s="11" t="s">
        <v>14</v>
      </c>
      <c r="J18" s="11" t="s">
        <v>14</v>
      </c>
      <c r="M18" cm="1">
        <f t="array" ref="M18">_xlfn.IFS(J18="PASS",1,I18="PASS",0.75,H18="PASS",0.5,G18="PASS",0.25,G18="FAIL",0)</f>
        <v>1</v>
      </c>
    </row>
    <row r="19" spans="1:17" ht="22.5" customHeight="1" x14ac:dyDescent="0.25">
      <c r="A19" s="7" t="s">
        <v>23</v>
      </c>
      <c r="B19" s="7" t="s">
        <v>10</v>
      </c>
      <c r="C19" s="8" t="s">
        <v>11</v>
      </c>
      <c r="D19" s="7">
        <v>6866</v>
      </c>
      <c r="E19" s="9" t="s">
        <v>24</v>
      </c>
      <c r="F19" s="8" t="s">
        <v>27</v>
      </c>
      <c r="G19" s="12" t="s">
        <v>17</v>
      </c>
      <c r="H19" s="12" t="s">
        <v>17</v>
      </c>
      <c r="I19" s="12" t="s">
        <v>17</v>
      </c>
      <c r="J19" s="12" t="s">
        <v>17</v>
      </c>
      <c r="M19" cm="1">
        <f t="array" ref="M19">_xlfn.IFS(J19="PASS",1,I19="PASS",0.75,H19="PASS",0.5,G19="PASS",0.25,G19="FAIL",0)</f>
        <v>0</v>
      </c>
    </row>
    <row r="20" spans="1:17" ht="22.5" customHeight="1" x14ac:dyDescent="0.25">
      <c r="A20" s="7" t="s">
        <v>23</v>
      </c>
      <c r="B20" s="7" t="s">
        <v>10</v>
      </c>
      <c r="C20" s="8" t="s">
        <v>11</v>
      </c>
      <c r="D20" s="7">
        <v>6866</v>
      </c>
      <c r="E20" s="9" t="s">
        <v>25</v>
      </c>
      <c r="F20" s="8" t="s">
        <v>27</v>
      </c>
      <c r="G20" s="11" t="s">
        <v>14</v>
      </c>
      <c r="H20" s="11" t="s">
        <v>14</v>
      </c>
      <c r="I20" s="11" t="s">
        <v>14</v>
      </c>
      <c r="J20" s="11" t="s">
        <v>14</v>
      </c>
      <c r="M20" cm="1">
        <f t="array" ref="M20">_xlfn.IFS(J20="PASS",1,I20="PASS",0.75,H20="PASS",0.5,G20="PASS",0.25,G20="FAIL",0)</f>
        <v>1</v>
      </c>
    </row>
    <row r="21" spans="1:17" ht="22.5" customHeight="1" x14ac:dyDescent="0.25">
      <c r="A21" s="13" t="s">
        <v>23</v>
      </c>
      <c r="B21" s="13" t="s">
        <v>10</v>
      </c>
      <c r="C21" s="14" t="s">
        <v>11</v>
      </c>
      <c r="D21" s="13">
        <v>6866</v>
      </c>
      <c r="E21" s="15" t="s">
        <v>26</v>
      </c>
      <c r="F21" s="14" t="s">
        <v>27</v>
      </c>
      <c r="G21" s="17" t="s">
        <v>14</v>
      </c>
      <c r="H21" s="17" t="s">
        <v>14</v>
      </c>
      <c r="I21" s="17" t="s">
        <v>14</v>
      </c>
      <c r="J21" s="17" t="s">
        <v>14</v>
      </c>
      <c r="K21" s="13"/>
      <c r="L21" s="13"/>
      <c r="M21" cm="1">
        <f t="array" ref="M21">_xlfn.IFS(J21="PASS",1,I21="PASS",0.75,H21="PASS",0.5,G21="PASS",0.25,G21="FAIL",0)</f>
        <v>1</v>
      </c>
      <c r="N21" s="13"/>
      <c r="O21" s="13"/>
      <c r="P21" s="13"/>
      <c r="Q21" s="13"/>
    </row>
    <row r="22" spans="1:17" ht="22.5" customHeight="1" x14ac:dyDescent="0.25">
      <c r="A22" s="7" t="s">
        <v>9</v>
      </c>
      <c r="B22" s="7" t="s">
        <v>10</v>
      </c>
      <c r="C22" s="8" t="s">
        <v>11</v>
      </c>
      <c r="D22" s="7">
        <v>6856</v>
      </c>
      <c r="E22" s="9" t="s">
        <v>12</v>
      </c>
      <c r="F22" s="18" t="s">
        <v>28</v>
      </c>
      <c r="G22" s="12" t="s">
        <v>85</v>
      </c>
      <c r="H22" s="12" t="s">
        <v>85</v>
      </c>
      <c r="I22" s="12" t="s">
        <v>85</v>
      </c>
      <c r="J22" s="12" t="s">
        <v>85</v>
      </c>
      <c r="M22" t="e" cm="1">
        <f t="array" ref="M22">_xlfn.IFS(J22="PASS",1,I22="PASS",0.75,H22="PASS",0.5,G22="PASS",0.25,G22="FAIL",0)</f>
        <v>#N/A</v>
      </c>
    </row>
    <row r="23" spans="1:17" ht="22.5" customHeight="1" x14ac:dyDescent="0.25">
      <c r="A23" s="7" t="s">
        <v>15</v>
      </c>
      <c r="B23" s="7" t="s">
        <v>10</v>
      </c>
      <c r="C23" s="8" t="s">
        <v>11</v>
      </c>
      <c r="D23" s="7">
        <v>6924</v>
      </c>
      <c r="E23" s="9" t="s">
        <v>16</v>
      </c>
      <c r="F23" s="18" t="s">
        <v>28</v>
      </c>
      <c r="G23" s="12" t="s">
        <v>85</v>
      </c>
      <c r="H23" s="12" t="s">
        <v>85</v>
      </c>
      <c r="I23" s="12" t="s">
        <v>85</v>
      </c>
      <c r="J23" s="12" t="s">
        <v>85</v>
      </c>
      <c r="M23" t="e" cm="1">
        <f t="array" ref="M23">_xlfn.IFS(J23="PASS",1,I23="PASS",0.75,H23="PASS",0.5,G23="PASS",0.25,G23="FAIL",0)</f>
        <v>#N/A</v>
      </c>
    </row>
    <row r="24" spans="1:17" ht="22.5" customHeight="1" x14ac:dyDescent="0.25">
      <c r="A24" s="7" t="s">
        <v>15</v>
      </c>
      <c r="B24" s="7" t="s">
        <v>10</v>
      </c>
      <c r="C24" s="8" t="s">
        <v>11</v>
      </c>
      <c r="D24" s="7">
        <v>6924</v>
      </c>
      <c r="E24" s="9" t="s">
        <v>18</v>
      </c>
      <c r="F24" s="18" t="s">
        <v>28</v>
      </c>
      <c r="G24" s="12" t="s">
        <v>85</v>
      </c>
      <c r="H24" s="12" t="s">
        <v>85</v>
      </c>
      <c r="I24" s="12" t="s">
        <v>85</v>
      </c>
      <c r="J24" s="12" t="s">
        <v>85</v>
      </c>
      <c r="M24" t="e" cm="1">
        <f t="array" ref="M24">_xlfn.IFS(J24="PASS",1,I24="PASS",0.75,H24="PASS",0.5,G24="PASS",0.25,G24="FAIL",0)</f>
        <v>#N/A</v>
      </c>
    </row>
    <row r="25" spans="1:17" ht="22.5" customHeight="1" x14ac:dyDescent="0.25">
      <c r="A25" s="7" t="s">
        <v>19</v>
      </c>
      <c r="B25" s="7" t="s">
        <v>10</v>
      </c>
      <c r="C25" s="8" t="s">
        <v>11</v>
      </c>
      <c r="D25" s="7">
        <v>6802</v>
      </c>
      <c r="E25" s="9" t="s">
        <v>20</v>
      </c>
      <c r="F25" s="18" t="s">
        <v>28</v>
      </c>
      <c r="G25" s="12" t="s">
        <v>85</v>
      </c>
      <c r="H25" s="12" t="s">
        <v>85</v>
      </c>
      <c r="I25" s="12" t="s">
        <v>85</v>
      </c>
      <c r="J25" s="12" t="s">
        <v>85</v>
      </c>
      <c r="M25" t="e" cm="1">
        <f t="array" ref="M25">_xlfn.IFS(J25="PASS",1,I25="PASS",0.75,H25="PASS",0.5,G25="PASS",0.25,G25="FAIL",0)</f>
        <v>#N/A</v>
      </c>
    </row>
    <row r="26" spans="1:17" ht="22.5" customHeight="1" x14ac:dyDescent="0.25">
      <c r="A26" s="7" t="s">
        <v>19</v>
      </c>
      <c r="B26" s="7" t="s">
        <v>10</v>
      </c>
      <c r="C26" s="8" t="s">
        <v>11</v>
      </c>
      <c r="D26" s="7">
        <v>6802</v>
      </c>
      <c r="E26" s="9" t="s">
        <v>21</v>
      </c>
      <c r="F26" s="18" t="s">
        <v>28</v>
      </c>
      <c r="G26" s="12" t="s">
        <v>85</v>
      </c>
      <c r="H26" s="12" t="s">
        <v>85</v>
      </c>
      <c r="I26" s="12" t="s">
        <v>85</v>
      </c>
      <c r="J26" s="12" t="s">
        <v>85</v>
      </c>
      <c r="M26" t="e" cm="1">
        <f t="array" ref="M26">_xlfn.IFS(J26="PASS",1,I26="PASS",0.75,H26="PASS",0.5,G26="PASS",0.25,G26="FAIL",0)</f>
        <v>#N/A</v>
      </c>
    </row>
    <row r="27" spans="1:17" ht="22.5" customHeight="1" x14ac:dyDescent="0.25">
      <c r="A27" s="7" t="s">
        <v>19</v>
      </c>
      <c r="B27" s="7" t="s">
        <v>10</v>
      </c>
      <c r="C27" s="8" t="s">
        <v>11</v>
      </c>
      <c r="D27" s="7">
        <v>6802</v>
      </c>
      <c r="E27" s="9" t="s">
        <v>22</v>
      </c>
      <c r="F27" s="18" t="s">
        <v>28</v>
      </c>
      <c r="G27" s="12" t="s">
        <v>85</v>
      </c>
      <c r="H27" s="12" t="s">
        <v>85</v>
      </c>
      <c r="I27" s="12" t="s">
        <v>85</v>
      </c>
      <c r="J27" s="12" t="s">
        <v>85</v>
      </c>
      <c r="M27" t="e" cm="1">
        <f t="array" ref="M27">_xlfn.IFS(J27="PASS",1,I27="PASS",0.75,H27="PASS",0.5,G27="PASS",0.25,G27="FAIL",0)</f>
        <v>#N/A</v>
      </c>
    </row>
    <row r="28" spans="1:17" ht="22.5" customHeight="1" x14ac:dyDescent="0.25">
      <c r="A28" s="7" t="s">
        <v>23</v>
      </c>
      <c r="B28" s="7" t="s">
        <v>10</v>
      </c>
      <c r="C28" s="8" t="s">
        <v>11</v>
      </c>
      <c r="D28" s="7">
        <v>6866</v>
      </c>
      <c r="E28" s="9" t="s">
        <v>24</v>
      </c>
      <c r="F28" s="18" t="s">
        <v>28</v>
      </c>
      <c r="G28" s="12" t="s">
        <v>85</v>
      </c>
      <c r="H28" s="12" t="s">
        <v>85</v>
      </c>
      <c r="I28" s="12" t="s">
        <v>85</v>
      </c>
      <c r="J28" s="12" t="s">
        <v>85</v>
      </c>
      <c r="M28" t="e" cm="1">
        <f t="array" ref="M28">_xlfn.IFS(J28="PASS",1,I28="PASS",0.75,H28="PASS",0.5,G28="PASS",0.25,G28="FAIL",0)</f>
        <v>#N/A</v>
      </c>
    </row>
    <row r="29" spans="1:17" ht="22.5" customHeight="1" x14ac:dyDescent="0.25">
      <c r="A29" s="7" t="s">
        <v>23</v>
      </c>
      <c r="B29" s="7" t="s">
        <v>10</v>
      </c>
      <c r="C29" s="8" t="s">
        <v>11</v>
      </c>
      <c r="D29" s="7">
        <v>6866</v>
      </c>
      <c r="E29" s="9" t="s">
        <v>25</v>
      </c>
      <c r="F29" s="18" t="s">
        <v>28</v>
      </c>
      <c r="G29" s="12" t="s">
        <v>85</v>
      </c>
      <c r="H29" s="12" t="s">
        <v>85</v>
      </c>
      <c r="I29" s="12" t="s">
        <v>85</v>
      </c>
      <c r="J29" s="12" t="s">
        <v>85</v>
      </c>
      <c r="M29" t="e" cm="1">
        <f t="array" ref="M29">_xlfn.IFS(J29="PASS",1,I29="PASS",0.75,H29="PASS",0.5,G29="PASS",0.25,G29="FAIL",0)</f>
        <v>#N/A</v>
      </c>
    </row>
    <row r="30" spans="1:17" ht="22.5" customHeight="1" x14ac:dyDescent="0.25">
      <c r="A30" s="13" t="s">
        <v>23</v>
      </c>
      <c r="B30" s="13" t="s">
        <v>10</v>
      </c>
      <c r="C30" s="14" t="s">
        <v>11</v>
      </c>
      <c r="D30" s="13">
        <v>6866</v>
      </c>
      <c r="E30" s="15" t="s">
        <v>26</v>
      </c>
      <c r="F30" s="19" t="s">
        <v>28</v>
      </c>
      <c r="G30" s="28" t="s">
        <v>85</v>
      </c>
      <c r="H30" s="28" t="s">
        <v>85</v>
      </c>
      <c r="I30" s="28" t="s">
        <v>85</v>
      </c>
      <c r="J30" s="28" t="s">
        <v>85</v>
      </c>
      <c r="K30" s="13"/>
      <c r="L30" s="13"/>
      <c r="M30" t="e" cm="1">
        <f t="array" ref="M30">_xlfn.IFS(J30="PASS",1,I30="PASS",0.75,H30="PASS",0.5,G30="PASS",0.25,G30="FAIL",0)</f>
        <v>#N/A</v>
      </c>
      <c r="N30" s="13"/>
      <c r="O30" s="13"/>
      <c r="P30" s="13"/>
      <c r="Q30" s="13"/>
    </row>
    <row r="31" spans="1:17" ht="22.5" customHeight="1" x14ac:dyDescent="0.25">
      <c r="A31" s="7" t="s">
        <v>9</v>
      </c>
      <c r="B31" s="7" t="s">
        <v>10</v>
      </c>
      <c r="C31" s="8" t="s">
        <v>11</v>
      </c>
      <c r="D31" s="7">
        <v>6856</v>
      </c>
      <c r="E31" s="9" t="s">
        <v>12</v>
      </c>
      <c r="F31" s="20" t="s">
        <v>29</v>
      </c>
      <c r="G31" s="11" t="s">
        <v>14</v>
      </c>
      <c r="H31" s="11" t="s">
        <v>14</v>
      </c>
      <c r="I31" s="11" t="s">
        <v>14</v>
      </c>
      <c r="J31" s="11" t="s">
        <v>14</v>
      </c>
      <c r="M31" cm="1">
        <f t="array" ref="M31">_xlfn.IFS(J31="PASS",1,I31="PASS",0.75,H31="PASS",0.5,G31="PASS",0.25,G31="FAIL",0)</f>
        <v>1</v>
      </c>
    </row>
    <row r="32" spans="1:17" ht="22.5" customHeight="1" x14ac:dyDescent="0.25">
      <c r="A32" s="7" t="s">
        <v>15</v>
      </c>
      <c r="B32" s="7" t="s">
        <v>10</v>
      </c>
      <c r="C32" s="8" t="s">
        <v>11</v>
      </c>
      <c r="D32" s="7">
        <v>6924</v>
      </c>
      <c r="E32" s="9" t="s">
        <v>16</v>
      </c>
      <c r="F32" s="20" t="s">
        <v>29</v>
      </c>
      <c r="G32" s="11" t="s">
        <v>14</v>
      </c>
      <c r="H32" s="11" t="s">
        <v>14</v>
      </c>
      <c r="I32" s="12" t="s">
        <v>17</v>
      </c>
      <c r="J32" s="12" t="s">
        <v>17</v>
      </c>
      <c r="M32" cm="1">
        <f t="array" ref="M32">_xlfn.IFS(J32="PASS",1,I32="PASS",0.75,H32="PASS",0.5,G32="PASS",0.25,G32="FAIL",0)</f>
        <v>0.5</v>
      </c>
    </row>
    <row r="33" spans="1:13" ht="22.5" customHeight="1" x14ac:dyDescent="0.25">
      <c r="A33" s="7" t="s">
        <v>15</v>
      </c>
      <c r="B33" s="7" t="s">
        <v>10</v>
      </c>
      <c r="C33" s="8" t="s">
        <v>11</v>
      </c>
      <c r="D33" s="7">
        <v>6924</v>
      </c>
      <c r="E33" s="9" t="s">
        <v>18</v>
      </c>
      <c r="F33" s="20" t="s">
        <v>29</v>
      </c>
      <c r="G33" s="11" t="s">
        <v>14</v>
      </c>
      <c r="H33" s="11" t="s">
        <v>14</v>
      </c>
      <c r="I33" s="11" t="s">
        <v>14</v>
      </c>
      <c r="J33" s="11" t="s">
        <v>14</v>
      </c>
      <c r="M33" cm="1">
        <f t="array" ref="M33">_xlfn.IFS(J33="PASS",1,I33="PASS",0.75,H33="PASS",0.5,G33="PASS",0.25,G33="FAIL",0)</f>
        <v>1</v>
      </c>
    </row>
    <row r="34" spans="1:13" ht="22.5" customHeight="1" x14ac:dyDescent="0.25">
      <c r="A34" s="7" t="s">
        <v>19</v>
      </c>
      <c r="B34" s="7" t="s">
        <v>10</v>
      </c>
      <c r="C34" s="8" t="s">
        <v>11</v>
      </c>
      <c r="D34" s="7">
        <v>6802</v>
      </c>
      <c r="E34" s="9" t="s">
        <v>20</v>
      </c>
      <c r="F34" s="20" t="s">
        <v>29</v>
      </c>
      <c r="G34" s="11" t="s">
        <v>14</v>
      </c>
      <c r="H34" s="11" t="s">
        <v>14</v>
      </c>
      <c r="I34" s="11" t="s">
        <v>14</v>
      </c>
      <c r="J34" s="12" t="s">
        <v>17</v>
      </c>
      <c r="M34" cm="1">
        <f t="array" ref="M34">_xlfn.IFS(J34="PASS",1,I34="PASS",0.75,H34="PASS",0.5,G34="PASS",0.25,G34="FAIL",0)</f>
        <v>0.75</v>
      </c>
    </row>
    <row r="35" spans="1:13" ht="22.5" customHeight="1" x14ac:dyDescent="0.25">
      <c r="A35" s="7" t="s">
        <v>19</v>
      </c>
      <c r="B35" s="7" t="s">
        <v>10</v>
      </c>
      <c r="C35" s="8" t="s">
        <v>11</v>
      </c>
      <c r="D35" s="7">
        <v>6802</v>
      </c>
      <c r="E35" s="9" t="s">
        <v>21</v>
      </c>
      <c r="F35" s="20" t="s">
        <v>29</v>
      </c>
      <c r="G35" s="12" t="s">
        <v>17</v>
      </c>
      <c r="H35" s="11" t="s">
        <v>14</v>
      </c>
      <c r="I35" s="12" t="s">
        <v>17</v>
      </c>
      <c r="J35" s="12" t="s">
        <v>17</v>
      </c>
      <c r="M35" cm="1">
        <f t="array" ref="M35">_xlfn.IFS(J35="PASS",1,I35="PASS",0.75,H35="PASS",0.5,G35="PASS",0.25,G35="FAIL",0)</f>
        <v>0.5</v>
      </c>
    </row>
    <row r="36" spans="1:13" ht="22.5" customHeight="1" x14ac:dyDescent="0.25">
      <c r="A36" s="7" t="s">
        <v>19</v>
      </c>
      <c r="B36" s="7" t="s">
        <v>10</v>
      </c>
      <c r="C36" s="8" t="s">
        <v>11</v>
      </c>
      <c r="D36" s="7">
        <v>6802</v>
      </c>
      <c r="E36" s="9" t="s">
        <v>22</v>
      </c>
      <c r="F36" s="20" t="s">
        <v>29</v>
      </c>
      <c r="G36" s="11" t="s">
        <v>14</v>
      </c>
      <c r="H36" s="11" t="s">
        <v>14</v>
      </c>
      <c r="I36" s="11" t="s">
        <v>14</v>
      </c>
      <c r="J36" s="11" t="s">
        <v>14</v>
      </c>
      <c r="M36" cm="1">
        <f t="array" ref="M36">_xlfn.IFS(J36="PASS",1,I36="PASS",0.75,H36="PASS",0.5,G36="PASS",0.25,G36="FAIL",0)</f>
        <v>1</v>
      </c>
    </row>
    <row r="37" spans="1:13" ht="22.5" customHeight="1" x14ac:dyDescent="0.25">
      <c r="A37" s="7" t="s">
        <v>23</v>
      </c>
      <c r="B37" s="7" t="s">
        <v>10</v>
      </c>
      <c r="C37" s="8" t="s">
        <v>11</v>
      </c>
      <c r="D37" s="7">
        <v>6866</v>
      </c>
      <c r="E37" s="9" t="s">
        <v>24</v>
      </c>
      <c r="F37" s="20" t="s">
        <v>29</v>
      </c>
      <c r="G37" s="12" t="s">
        <v>17</v>
      </c>
      <c r="H37" s="12" t="s">
        <v>17</v>
      </c>
      <c r="I37" s="12" t="s">
        <v>17</v>
      </c>
      <c r="J37" s="12" t="s">
        <v>17</v>
      </c>
      <c r="M37" cm="1">
        <f t="array" ref="M37">_xlfn.IFS(J37="PASS",1,I37="PASS",0.75,H37="PASS",0.5,G37="PASS",0.25,G37="FAIL",0)</f>
        <v>0</v>
      </c>
    </row>
    <row r="38" spans="1:13" ht="22.5" customHeight="1" x14ac:dyDescent="0.25">
      <c r="A38" s="7" t="s">
        <v>23</v>
      </c>
      <c r="B38" s="7" t="s">
        <v>10</v>
      </c>
      <c r="C38" s="8" t="s">
        <v>11</v>
      </c>
      <c r="D38" s="7">
        <v>6866</v>
      </c>
      <c r="E38" s="9" t="s">
        <v>25</v>
      </c>
      <c r="F38" s="20" t="s">
        <v>29</v>
      </c>
      <c r="G38" s="11" t="s">
        <v>14</v>
      </c>
      <c r="H38" s="11" t="s">
        <v>14</v>
      </c>
      <c r="I38" s="11" t="s">
        <v>14</v>
      </c>
      <c r="J38" s="11" t="s">
        <v>14</v>
      </c>
      <c r="M38" cm="1">
        <f t="array" ref="M38">_xlfn.IFS(J38="PASS",1,I38="PASS",0.75,H38="PASS",0.5,G38="PASS",0.25,G38="FAIL",0)</f>
        <v>1</v>
      </c>
    </row>
    <row r="39" spans="1:13" ht="22.5" customHeight="1" x14ac:dyDescent="0.25">
      <c r="A39" s="7" t="s">
        <v>23</v>
      </c>
      <c r="B39" s="7" t="s">
        <v>10</v>
      </c>
      <c r="C39" s="8" t="s">
        <v>11</v>
      </c>
      <c r="D39" s="13">
        <v>6866</v>
      </c>
      <c r="E39" s="9" t="s">
        <v>26</v>
      </c>
      <c r="F39" s="20" t="s">
        <v>29</v>
      </c>
      <c r="G39" s="11" t="s">
        <v>14</v>
      </c>
      <c r="H39" s="11" t="s">
        <v>14</v>
      </c>
      <c r="I39" s="11" t="s">
        <v>14</v>
      </c>
      <c r="J39" s="11" t="s">
        <v>14</v>
      </c>
      <c r="M39" cm="1">
        <f t="array" ref="M39">_xlfn.IFS(J39="PASS",1,I39="PASS",0.75,H39="PASS",0.5,G39="PASS",0.25,G39="FAIL",0)</f>
        <v>1</v>
      </c>
    </row>
    <row r="40" spans="1:13" ht="12.5" x14ac:dyDescent="0.25">
      <c r="D40" s="7"/>
      <c r="G40" s="21">
        <f t="shared" ref="G40:J40" si="0">(COUNTIF(G4:G39,"PASS") / (COUNTIF(G4:G39,"PASS") + COUNTIF(G4:G39,"FAIL"))) * 100</f>
        <v>81.481481481481481</v>
      </c>
      <c r="H40" s="21">
        <f t="shared" si="0"/>
        <v>85.18518518518519</v>
      </c>
      <c r="I40" s="21">
        <f t="shared" si="0"/>
        <v>77.777777777777786</v>
      </c>
      <c r="J40" s="21">
        <f t="shared" si="0"/>
        <v>70.370370370370367</v>
      </c>
      <c r="M40" t="e" cm="1">
        <f t="array" ref="M40">_xlfn.IFS(J40="PASS",1,I40="PASS",0.75,H40="PASS",0.5,G40="PASS",0.25,G40="FAIL",0)</f>
        <v>#N/A</v>
      </c>
    </row>
    <row r="41" spans="1:13" ht="12.5" x14ac:dyDescent="0.25">
      <c r="G41" s="22"/>
      <c r="H41" s="22"/>
      <c r="I41" s="22"/>
      <c r="J41" s="22"/>
    </row>
    <row r="46" spans="1:13" ht="12.5" x14ac:dyDescent="0.25">
      <c r="K46" s="7">
        <v>23</v>
      </c>
    </row>
    <row r="47" spans="1:13" ht="12.5" x14ac:dyDescent="0.25">
      <c r="K47" s="7" t="e">
        <f>G47/G46*K46</f>
        <v>#DIV/0!</v>
      </c>
    </row>
  </sheetData>
  <mergeCells count="3">
    <mergeCell ref="A2:D2"/>
    <mergeCell ref="E2:F2"/>
    <mergeCell ref="G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27"/>
  <sheetViews>
    <sheetView tabSelected="1" topLeftCell="C1" workbookViewId="0">
      <selection activeCell="G3" sqref="G3:G8"/>
    </sheetView>
  </sheetViews>
  <sheetFormatPr defaultColWidth="12.6328125" defaultRowHeight="15.75" customHeight="1" x14ac:dyDescent="0.25"/>
  <cols>
    <col min="1" max="1" width="15.6328125" customWidth="1"/>
    <col min="2" max="2" width="27.6328125" customWidth="1"/>
    <col min="6" max="6" width="55.90625" customWidth="1"/>
    <col min="7" max="7" width="16.26953125" customWidth="1"/>
    <col min="8" max="8" width="29.7265625" customWidth="1"/>
    <col min="9" max="9" width="20.08984375" customWidth="1"/>
    <col min="15" max="15" width="22.90625" hidden="1" customWidth="1"/>
    <col min="16" max="16" width="12.6328125" hidden="1"/>
  </cols>
  <sheetData>
    <row r="1" spans="1:29" ht="21" customHeight="1" x14ac:dyDescent="0.35">
      <c r="A1" s="1"/>
      <c r="B1" s="34" t="s">
        <v>0</v>
      </c>
      <c r="C1" s="35"/>
      <c r="D1" s="35"/>
      <c r="E1" s="35"/>
      <c r="F1" s="36"/>
      <c r="G1" s="35"/>
      <c r="H1" s="37"/>
      <c r="I1" s="35"/>
      <c r="J1" s="35"/>
      <c r="K1" s="35"/>
      <c r="L1" s="35"/>
      <c r="M1" s="35"/>
      <c r="N1" s="35"/>
      <c r="O1" s="35"/>
      <c r="P1" s="35"/>
      <c r="Q1" s="23"/>
      <c r="R1" s="2"/>
      <c r="S1" s="2"/>
      <c r="T1" s="2"/>
      <c r="U1" s="2"/>
      <c r="V1" s="2"/>
      <c r="W1" s="2"/>
      <c r="X1" s="2"/>
      <c r="Y1" s="2"/>
      <c r="Z1" s="2"/>
      <c r="AA1" s="2"/>
      <c r="AB1" s="2"/>
      <c r="AC1" s="2"/>
    </row>
    <row r="2" spans="1:29" ht="20.25" customHeight="1" x14ac:dyDescent="0.3">
      <c r="A2" s="3"/>
      <c r="B2" s="3" t="s">
        <v>2</v>
      </c>
      <c r="C2" s="3" t="s">
        <v>3</v>
      </c>
      <c r="D2" s="3" t="s">
        <v>4</v>
      </c>
      <c r="E2" s="3" t="s">
        <v>5</v>
      </c>
      <c r="F2" s="4" t="s">
        <v>1</v>
      </c>
      <c r="G2" s="3" t="s">
        <v>6</v>
      </c>
      <c r="H2" s="3" t="s">
        <v>31</v>
      </c>
      <c r="I2" s="3" t="s">
        <v>32</v>
      </c>
      <c r="J2" s="3" t="s">
        <v>33</v>
      </c>
      <c r="K2" s="5">
        <v>0.25</v>
      </c>
      <c r="L2" s="5">
        <v>0.5</v>
      </c>
      <c r="M2" s="5">
        <v>0.75</v>
      </c>
      <c r="N2" s="5">
        <v>1</v>
      </c>
      <c r="O2" s="3" t="s">
        <v>7</v>
      </c>
      <c r="P2" s="3" t="s">
        <v>8</v>
      </c>
      <c r="Q2" s="3"/>
      <c r="R2" s="6"/>
      <c r="S2" s="6"/>
      <c r="T2" s="6"/>
      <c r="U2" s="6"/>
      <c r="V2" s="6"/>
      <c r="W2" s="6"/>
      <c r="X2" s="6"/>
      <c r="Y2" s="6"/>
      <c r="Z2" s="6"/>
      <c r="AA2" s="6"/>
      <c r="AB2" s="6"/>
      <c r="AC2" s="6"/>
    </row>
    <row r="3" spans="1:29" ht="23.25" customHeight="1" x14ac:dyDescent="0.25">
      <c r="A3" s="9" t="s">
        <v>86</v>
      </c>
      <c r="B3" s="9" t="s">
        <v>87</v>
      </c>
      <c r="C3" s="7" t="s">
        <v>10</v>
      </c>
      <c r="D3" s="26" t="s">
        <v>75</v>
      </c>
      <c r="E3" s="7">
        <v>6709</v>
      </c>
      <c r="F3" s="9" t="s">
        <v>88</v>
      </c>
      <c r="G3" t="s">
        <v>13</v>
      </c>
      <c r="H3" s="9" t="s">
        <v>89</v>
      </c>
      <c r="I3" s="7" t="s">
        <v>90</v>
      </c>
      <c r="J3" s="7" t="s">
        <v>91</v>
      </c>
      <c r="K3" s="11" t="s">
        <v>14</v>
      </c>
      <c r="L3" s="29" t="s">
        <v>17</v>
      </c>
      <c r="M3" s="29" t="s">
        <v>17</v>
      </c>
      <c r="N3" s="29" t="s">
        <v>17</v>
      </c>
      <c r="Q3" cm="1">
        <f t="array" ref="Q3">_xlfn.IFS(N3="PASS",1,M3="PASS",0.75,L3="PASS",0.5,K3="PASS",0.25,K3="FAIL",0)</f>
        <v>0.25</v>
      </c>
    </row>
    <row r="4" spans="1:29" ht="23.25" customHeight="1" x14ac:dyDescent="0.25">
      <c r="A4" s="9" t="s">
        <v>86</v>
      </c>
      <c r="B4" s="9" t="s">
        <v>87</v>
      </c>
      <c r="C4" s="7" t="s">
        <v>10</v>
      </c>
      <c r="D4" s="26" t="s">
        <v>75</v>
      </c>
      <c r="E4" s="7">
        <v>6709</v>
      </c>
      <c r="F4" s="9" t="s">
        <v>92</v>
      </c>
      <c r="G4" t="s">
        <v>13</v>
      </c>
      <c r="H4" s="9" t="s">
        <v>93</v>
      </c>
      <c r="I4" s="7" t="s">
        <v>94</v>
      </c>
      <c r="J4" s="7" t="s">
        <v>91</v>
      </c>
      <c r="K4" s="29" t="s">
        <v>17</v>
      </c>
      <c r="L4" s="11" t="s">
        <v>14</v>
      </c>
      <c r="M4" s="12" t="s">
        <v>17</v>
      </c>
      <c r="N4" s="12" t="s">
        <v>17</v>
      </c>
      <c r="Q4" cm="1">
        <f t="array" ref="Q4">_xlfn.IFS(N4="PASS",1,M4="PASS",0.75,L4="PASS",0.5,K4="PASS",0.25,K4="FAIL",0)</f>
        <v>0.5</v>
      </c>
    </row>
    <row r="5" spans="1:29" ht="23.25" customHeight="1" x14ac:dyDescent="0.25">
      <c r="A5" s="7" t="s">
        <v>95</v>
      </c>
      <c r="B5" s="9" t="s">
        <v>96</v>
      </c>
      <c r="C5" s="7" t="s">
        <v>10</v>
      </c>
      <c r="D5" s="26" t="s">
        <v>75</v>
      </c>
      <c r="E5" s="7">
        <v>7944</v>
      </c>
      <c r="F5" s="9" t="s">
        <v>97</v>
      </c>
      <c r="G5" t="s">
        <v>13</v>
      </c>
      <c r="H5" s="9" t="s">
        <v>98</v>
      </c>
      <c r="I5" s="7" t="s">
        <v>99</v>
      </c>
      <c r="J5" s="7" t="s">
        <v>91</v>
      </c>
      <c r="K5" s="11" t="s">
        <v>14</v>
      </c>
      <c r="L5" s="11" t="s">
        <v>14</v>
      </c>
      <c r="M5" s="12" t="s">
        <v>17</v>
      </c>
      <c r="N5" s="12" t="s">
        <v>17</v>
      </c>
      <c r="Q5" cm="1">
        <f t="array" ref="Q5">_xlfn.IFS(N5="PASS",1,M5="PASS",0.75,L5="PASS",0.5,K5="PASS",0.25,K5="FAIL",0)</f>
        <v>0.5</v>
      </c>
    </row>
    <row r="6" spans="1:29" ht="23.25" customHeight="1" x14ac:dyDescent="0.25">
      <c r="A6" s="7" t="s">
        <v>95</v>
      </c>
      <c r="B6" s="9" t="s">
        <v>96</v>
      </c>
      <c r="C6" s="7" t="s">
        <v>10</v>
      </c>
      <c r="D6" s="26" t="s">
        <v>75</v>
      </c>
      <c r="E6" s="7">
        <v>7944</v>
      </c>
      <c r="F6" s="9" t="s">
        <v>100</v>
      </c>
      <c r="G6" t="s">
        <v>13</v>
      </c>
      <c r="H6" s="9" t="s">
        <v>101</v>
      </c>
      <c r="I6" s="7" t="s">
        <v>102</v>
      </c>
      <c r="J6" s="7" t="s">
        <v>91</v>
      </c>
      <c r="K6" s="11" t="s">
        <v>14</v>
      </c>
      <c r="L6" s="11" t="s">
        <v>14</v>
      </c>
      <c r="M6" s="11" t="s">
        <v>14</v>
      </c>
      <c r="N6" s="12" t="s">
        <v>17</v>
      </c>
      <c r="Q6" cm="1">
        <f t="array" ref="Q6">_xlfn.IFS(N6="PASS",1,M6="PASS",0.75,L6="PASS",0.5,K6="PASS",0.25,K6="FAIL",0)</f>
        <v>0.75</v>
      </c>
    </row>
    <row r="7" spans="1:29" ht="23.25" customHeight="1" x14ac:dyDescent="0.25">
      <c r="A7" s="7" t="s">
        <v>103</v>
      </c>
      <c r="B7" s="7" t="s">
        <v>104</v>
      </c>
      <c r="C7" s="7" t="s">
        <v>10</v>
      </c>
      <c r="D7" s="26" t="s">
        <v>75</v>
      </c>
      <c r="E7" s="7">
        <v>6712</v>
      </c>
      <c r="F7" s="9" t="s">
        <v>105</v>
      </c>
      <c r="G7" t="s">
        <v>13</v>
      </c>
      <c r="H7" s="9" t="s">
        <v>106</v>
      </c>
      <c r="I7" s="7" t="s">
        <v>107</v>
      </c>
      <c r="J7" s="7" t="s">
        <v>91</v>
      </c>
      <c r="K7" s="11" t="s">
        <v>14</v>
      </c>
      <c r="L7" s="11" t="s">
        <v>14</v>
      </c>
      <c r="M7" s="11" t="s">
        <v>14</v>
      </c>
      <c r="N7" s="12" t="s">
        <v>17</v>
      </c>
      <c r="Q7" cm="1">
        <f t="array" ref="Q7">_xlfn.IFS(N7="PASS",1,M7="PASS",0.75,L7="PASS",0.5,K7="PASS",0.25,K7="FAIL",0)</f>
        <v>0.75</v>
      </c>
    </row>
    <row r="8" spans="1:29" ht="23.25" customHeight="1" x14ac:dyDescent="0.25">
      <c r="A8" s="7" t="s">
        <v>103</v>
      </c>
      <c r="B8" s="7" t="s">
        <v>104</v>
      </c>
      <c r="C8" s="7" t="s">
        <v>10</v>
      </c>
      <c r="D8" s="27" t="s">
        <v>75</v>
      </c>
      <c r="E8" s="7">
        <v>6712</v>
      </c>
      <c r="F8" s="9" t="s">
        <v>108</v>
      </c>
      <c r="G8" t="s">
        <v>13</v>
      </c>
      <c r="H8" s="9" t="s">
        <v>109</v>
      </c>
      <c r="I8" s="7" t="s">
        <v>110</v>
      </c>
      <c r="J8" s="13" t="s">
        <v>91</v>
      </c>
      <c r="K8" s="29" t="s">
        <v>17</v>
      </c>
      <c r="L8" s="28" t="s">
        <v>17</v>
      </c>
      <c r="M8" s="28" t="s">
        <v>17</v>
      </c>
      <c r="N8" s="28" t="s">
        <v>17</v>
      </c>
      <c r="Q8" cm="1">
        <f t="array" ref="Q8">_xlfn.IFS(N8="PASS",1,M8="PASS",0.75,L8="PASS",0.5,K8="PASS",0.25,K8="FAIL",0)</f>
        <v>0</v>
      </c>
    </row>
    <row r="9" spans="1:29" ht="23.25" customHeight="1" x14ac:dyDescent="0.25">
      <c r="A9" s="30" t="s">
        <v>86</v>
      </c>
      <c r="B9" s="30" t="s">
        <v>87</v>
      </c>
      <c r="C9" s="31" t="s">
        <v>10</v>
      </c>
      <c r="D9" s="26" t="s">
        <v>75</v>
      </c>
      <c r="E9" s="7">
        <v>6709</v>
      </c>
      <c r="F9" s="30" t="s">
        <v>88</v>
      </c>
      <c r="G9" s="8" t="s">
        <v>27</v>
      </c>
      <c r="H9" s="30" t="s">
        <v>89</v>
      </c>
      <c r="I9" s="31" t="s">
        <v>90</v>
      </c>
      <c r="J9" s="7" t="s">
        <v>91</v>
      </c>
      <c r="K9" s="11" t="s">
        <v>14</v>
      </c>
      <c r="L9" s="11" t="s">
        <v>14</v>
      </c>
      <c r="M9" s="11" t="s">
        <v>14</v>
      </c>
      <c r="N9" s="11" t="s">
        <v>14</v>
      </c>
      <c r="O9" s="31"/>
      <c r="P9" s="31"/>
      <c r="Q9" cm="1">
        <f t="array" ref="Q9">_xlfn.IFS(N9="PASS",1,M9="PASS",0.75,L9="PASS",0.5,K9="PASS",0.25,K9="FAIL",0)</f>
        <v>1</v>
      </c>
      <c r="R9" s="31"/>
      <c r="S9" s="31"/>
      <c r="T9" s="31"/>
      <c r="U9" s="31"/>
      <c r="V9" s="31"/>
      <c r="W9" s="31"/>
      <c r="X9" s="31"/>
      <c r="Y9" s="31"/>
      <c r="Z9" s="31"/>
      <c r="AA9" s="31"/>
      <c r="AB9" s="31"/>
      <c r="AC9" s="31"/>
    </row>
    <row r="10" spans="1:29" ht="23.25" customHeight="1" x14ac:dyDescent="0.25">
      <c r="A10" s="9" t="s">
        <v>86</v>
      </c>
      <c r="B10" s="9" t="s">
        <v>87</v>
      </c>
      <c r="C10" s="7" t="s">
        <v>10</v>
      </c>
      <c r="D10" s="26" t="s">
        <v>75</v>
      </c>
      <c r="E10" s="7">
        <v>6709</v>
      </c>
      <c r="F10" s="9" t="s">
        <v>92</v>
      </c>
      <c r="G10" s="8" t="s">
        <v>27</v>
      </c>
      <c r="H10" s="9" t="s">
        <v>93</v>
      </c>
      <c r="I10" s="7" t="s">
        <v>94</v>
      </c>
      <c r="J10" s="7" t="s">
        <v>91</v>
      </c>
      <c r="K10" s="12" t="s">
        <v>17</v>
      </c>
      <c r="L10" s="12" t="s">
        <v>17</v>
      </c>
      <c r="M10" s="12" t="s">
        <v>17</v>
      </c>
      <c r="N10" s="12" t="s">
        <v>17</v>
      </c>
      <c r="Q10" cm="1">
        <f t="array" ref="Q10">_xlfn.IFS(N10="PASS",1,M10="PASS",0.75,L10="PASS",0.5,K10="PASS",0.25,K10="FAIL",0)</f>
        <v>0</v>
      </c>
    </row>
    <row r="11" spans="1:29" ht="23.25" customHeight="1" x14ac:dyDescent="0.25">
      <c r="A11" s="7" t="s">
        <v>95</v>
      </c>
      <c r="B11" s="9" t="s">
        <v>96</v>
      </c>
      <c r="C11" s="7" t="s">
        <v>10</v>
      </c>
      <c r="D11" s="26" t="s">
        <v>75</v>
      </c>
      <c r="E11" s="7">
        <v>7944</v>
      </c>
      <c r="F11" s="9" t="s">
        <v>97</v>
      </c>
      <c r="G11" s="8" t="s">
        <v>27</v>
      </c>
      <c r="H11" s="9" t="s">
        <v>98</v>
      </c>
      <c r="I11" s="7" t="s">
        <v>99</v>
      </c>
      <c r="J11" s="7" t="s">
        <v>91</v>
      </c>
      <c r="K11" s="11" t="s">
        <v>14</v>
      </c>
      <c r="L11" s="11" t="s">
        <v>14</v>
      </c>
      <c r="M11" s="12" t="s">
        <v>17</v>
      </c>
      <c r="N11" s="12" t="s">
        <v>17</v>
      </c>
      <c r="Q11" cm="1">
        <f t="array" ref="Q11">_xlfn.IFS(N11="PASS",1,M11="PASS",0.75,L11="PASS",0.5,K11="PASS",0.25,K11="FAIL",0)</f>
        <v>0.5</v>
      </c>
    </row>
    <row r="12" spans="1:29" ht="23.25" customHeight="1" x14ac:dyDescent="0.25">
      <c r="A12" s="7" t="s">
        <v>95</v>
      </c>
      <c r="B12" s="9" t="s">
        <v>96</v>
      </c>
      <c r="C12" s="7" t="s">
        <v>10</v>
      </c>
      <c r="D12" s="26" t="s">
        <v>75</v>
      </c>
      <c r="E12" s="7">
        <v>7944</v>
      </c>
      <c r="F12" s="9" t="s">
        <v>100</v>
      </c>
      <c r="G12" s="8" t="s">
        <v>27</v>
      </c>
      <c r="H12" s="9" t="s">
        <v>101</v>
      </c>
      <c r="I12" s="7" t="s">
        <v>102</v>
      </c>
      <c r="J12" s="7" t="s">
        <v>91</v>
      </c>
      <c r="K12" s="11" t="s">
        <v>14</v>
      </c>
      <c r="L12" s="11" t="s">
        <v>14</v>
      </c>
      <c r="M12" s="11" t="s">
        <v>14</v>
      </c>
      <c r="N12" s="11" t="s">
        <v>14</v>
      </c>
      <c r="Q12" cm="1">
        <f t="array" ref="Q12">_xlfn.IFS(N12="PASS",1,M12="PASS",0.75,L12="PASS",0.5,K12="PASS",0.25,K12="FAIL",0)</f>
        <v>1</v>
      </c>
    </row>
    <row r="13" spans="1:29" ht="23.25" customHeight="1" x14ac:dyDescent="0.25">
      <c r="A13" s="7" t="s">
        <v>103</v>
      </c>
      <c r="B13" s="7" t="s">
        <v>104</v>
      </c>
      <c r="C13" s="7" t="s">
        <v>10</v>
      </c>
      <c r="D13" s="26" t="s">
        <v>75</v>
      </c>
      <c r="E13" s="7">
        <v>6712</v>
      </c>
      <c r="F13" s="9" t="s">
        <v>105</v>
      </c>
      <c r="G13" s="8" t="s">
        <v>27</v>
      </c>
      <c r="H13" s="9" t="s">
        <v>106</v>
      </c>
      <c r="I13" s="7" t="s">
        <v>107</v>
      </c>
      <c r="J13" s="7" t="s">
        <v>91</v>
      </c>
      <c r="K13" s="12" t="s">
        <v>17</v>
      </c>
      <c r="L13" s="11" t="s">
        <v>14</v>
      </c>
      <c r="M13" s="11" t="s">
        <v>14</v>
      </c>
      <c r="N13" s="11" t="s">
        <v>14</v>
      </c>
      <c r="Q13" cm="1">
        <f t="array" ref="Q13">_xlfn.IFS(N13="PASS",1,M13="PASS",0.75,L13="PASS",0.5,K13="PASS",0.25,K13="FAIL",0)</f>
        <v>1</v>
      </c>
    </row>
    <row r="14" spans="1:29" ht="23.25" customHeight="1" x14ac:dyDescent="0.25">
      <c r="A14" s="7" t="s">
        <v>103</v>
      </c>
      <c r="B14" s="7" t="s">
        <v>104</v>
      </c>
      <c r="C14" s="7" t="s">
        <v>10</v>
      </c>
      <c r="D14" s="27" t="s">
        <v>75</v>
      </c>
      <c r="E14" s="7">
        <v>6712</v>
      </c>
      <c r="F14" s="9" t="s">
        <v>108</v>
      </c>
      <c r="G14" s="14" t="s">
        <v>27</v>
      </c>
      <c r="H14" s="9" t="s">
        <v>109</v>
      </c>
      <c r="I14" s="7" t="s">
        <v>110</v>
      </c>
      <c r="J14" s="13" t="s">
        <v>91</v>
      </c>
      <c r="K14" s="17" t="s">
        <v>14</v>
      </c>
      <c r="L14" s="17" t="s">
        <v>14</v>
      </c>
      <c r="M14" s="17" t="s">
        <v>14</v>
      </c>
      <c r="N14" s="17" t="s">
        <v>14</v>
      </c>
      <c r="Q14" cm="1">
        <f t="array" ref="Q14">_xlfn.IFS(N14="PASS",1,M14="PASS",0.75,L14="PASS",0.5,K14="PASS",0.25,K14="FAIL",0)</f>
        <v>1</v>
      </c>
    </row>
    <row r="15" spans="1:29" ht="23.25" customHeight="1" x14ac:dyDescent="0.25">
      <c r="A15" s="30" t="s">
        <v>86</v>
      </c>
      <c r="B15" s="30" t="s">
        <v>87</v>
      </c>
      <c r="C15" s="31" t="s">
        <v>10</v>
      </c>
      <c r="D15" s="26" t="s">
        <v>75</v>
      </c>
      <c r="E15" s="7">
        <v>6709</v>
      </c>
      <c r="F15" s="30" t="s">
        <v>88</v>
      </c>
      <c r="G15" s="18" t="s">
        <v>28</v>
      </c>
      <c r="H15" s="30" t="s">
        <v>89</v>
      </c>
      <c r="I15" s="31" t="s">
        <v>90</v>
      </c>
      <c r="J15" s="7" t="s">
        <v>91</v>
      </c>
      <c r="K15" s="11" t="s">
        <v>14</v>
      </c>
      <c r="L15" s="11" t="s">
        <v>14</v>
      </c>
      <c r="M15" s="29" t="s">
        <v>17</v>
      </c>
      <c r="N15" s="29" t="s">
        <v>17</v>
      </c>
      <c r="O15" s="31"/>
      <c r="P15" s="31"/>
      <c r="Q15" cm="1">
        <f t="array" ref="Q15">_xlfn.IFS(N15="PASS",1,M15="PASS",0.75,L15="PASS",0.5,K15="PASS",0.25,K15="FAIL",0)</f>
        <v>0.5</v>
      </c>
      <c r="R15" s="31"/>
      <c r="S15" s="31"/>
      <c r="T15" s="31"/>
      <c r="U15" s="31"/>
      <c r="V15" s="31"/>
      <c r="W15" s="31"/>
      <c r="X15" s="31"/>
      <c r="Y15" s="31"/>
      <c r="Z15" s="31"/>
      <c r="AA15" s="31"/>
      <c r="AB15" s="31"/>
      <c r="AC15" s="31"/>
    </row>
    <row r="16" spans="1:29" ht="23.25" customHeight="1" x14ac:dyDescent="0.25">
      <c r="A16" s="9" t="s">
        <v>86</v>
      </c>
      <c r="B16" s="9" t="s">
        <v>87</v>
      </c>
      <c r="C16" s="7" t="s">
        <v>10</v>
      </c>
      <c r="D16" s="26" t="s">
        <v>75</v>
      </c>
      <c r="E16" s="7">
        <v>6709</v>
      </c>
      <c r="F16" s="9" t="s">
        <v>92</v>
      </c>
      <c r="G16" s="18" t="s">
        <v>28</v>
      </c>
      <c r="H16" s="9" t="s">
        <v>93</v>
      </c>
      <c r="I16" s="7" t="s">
        <v>94</v>
      </c>
      <c r="J16" s="7" t="s">
        <v>91</v>
      </c>
      <c r="K16" s="11" t="s">
        <v>14</v>
      </c>
      <c r="L16" s="11" t="s">
        <v>14</v>
      </c>
      <c r="M16" s="11" t="s">
        <v>14</v>
      </c>
      <c r="N16" s="11" t="s">
        <v>14</v>
      </c>
      <c r="Q16" cm="1">
        <f t="array" ref="Q16">_xlfn.IFS(N16="PASS",1,M16="PASS",0.75,L16="PASS",0.5,K16="PASS",0.25,K16="FAIL",0)</f>
        <v>1</v>
      </c>
    </row>
    <row r="17" spans="1:29" ht="23.25" customHeight="1" x14ac:dyDescent="0.25">
      <c r="A17" s="7" t="s">
        <v>95</v>
      </c>
      <c r="B17" s="9" t="s">
        <v>96</v>
      </c>
      <c r="C17" s="7" t="s">
        <v>10</v>
      </c>
      <c r="D17" s="26" t="s">
        <v>75</v>
      </c>
      <c r="E17" s="7">
        <v>7944</v>
      </c>
      <c r="F17" s="9" t="s">
        <v>97</v>
      </c>
      <c r="G17" s="18" t="s">
        <v>28</v>
      </c>
      <c r="H17" s="9" t="s">
        <v>98</v>
      </c>
      <c r="I17" s="7" t="s">
        <v>99</v>
      </c>
      <c r="J17" s="7" t="s">
        <v>91</v>
      </c>
      <c r="K17" s="11" t="s">
        <v>14</v>
      </c>
      <c r="L17" s="11" t="s">
        <v>14</v>
      </c>
      <c r="M17" s="29" t="s">
        <v>17</v>
      </c>
      <c r="N17" s="12" t="s">
        <v>17</v>
      </c>
      <c r="Q17" cm="1">
        <f t="array" ref="Q17">_xlfn.IFS(N17="PASS",1,M17="PASS",0.75,L17="PASS",0.5,K17="PASS",0.25,K17="FAIL",0)</f>
        <v>0.5</v>
      </c>
    </row>
    <row r="18" spans="1:29" ht="23.25" customHeight="1" x14ac:dyDescent="0.25">
      <c r="A18" s="7" t="s">
        <v>95</v>
      </c>
      <c r="B18" s="9" t="s">
        <v>96</v>
      </c>
      <c r="C18" s="7" t="s">
        <v>10</v>
      </c>
      <c r="D18" s="26" t="s">
        <v>75</v>
      </c>
      <c r="E18" s="7">
        <v>7944</v>
      </c>
      <c r="F18" s="9" t="s">
        <v>100</v>
      </c>
      <c r="G18" s="18" t="s">
        <v>28</v>
      </c>
      <c r="H18" s="9" t="s">
        <v>101</v>
      </c>
      <c r="I18" s="7" t="s">
        <v>102</v>
      </c>
      <c r="J18" s="7" t="s">
        <v>91</v>
      </c>
      <c r="K18" s="11" t="s">
        <v>14</v>
      </c>
      <c r="L18" s="11" t="s">
        <v>14</v>
      </c>
      <c r="M18" s="11" t="s">
        <v>14</v>
      </c>
      <c r="N18" s="12" t="s">
        <v>17</v>
      </c>
      <c r="Q18" cm="1">
        <f t="array" ref="Q18">_xlfn.IFS(N18="PASS",1,M18="PASS",0.75,L18="PASS",0.5,K18="PASS",0.25,K18="FAIL",0)</f>
        <v>0.75</v>
      </c>
    </row>
    <row r="19" spans="1:29" ht="23.25" customHeight="1" x14ac:dyDescent="0.25">
      <c r="A19" s="7" t="s">
        <v>103</v>
      </c>
      <c r="B19" s="7" t="s">
        <v>104</v>
      </c>
      <c r="C19" s="7" t="s">
        <v>10</v>
      </c>
      <c r="D19" s="26" t="s">
        <v>75</v>
      </c>
      <c r="E19" s="7">
        <v>6712</v>
      </c>
      <c r="F19" s="9" t="s">
        <v>105</v>
      </c>
      <c r="G19" s="18" t="s">
        <v>28</v>
      </c>
      <c r="H19" s="9" t="s">
        <v>106</v>
      </c>
      <c r="I19" s="7" t="s">
        <v>107</v>
      </c>
      <c r="J19" s="7" t="s">
        <v>91</v>
      </c>
      <c r="K19" s="11" t="s">
        <v>14</v>
      </c>
      <c r="L19" s="11" t="s">
        <v>14</v>
      </c>
      <c r="M19" s="12" t="s">
        <v>17</v>
      </c>
      <c r="N19" s="12" t="s">
        <v>17</v>
      </c>
      <c r="Q19" cm="1">
        <f t="array" ref="Q19">_xlfn.IFS(N19="PASS",1,M19="PASS",0.75,L19="PASS",0.5,K19="PASS",0.25,K19="FAIL",0)</f>
        <v>0.5</v>
      </c>
    </row>
    <row r="20" spans="1:29" ht="23.25" customHeight="1" x14ac:dyDescent="0.25">
      <c r="A20" s="7" t="s">
        <v>103</v>
      </c>
      <c r="B20" s="7" t="s">
        <v>104</v>
      </c>
      <c r="C20" s="7" t="s">
        <v>10</v>
      </c>
      <c r="D20" s="27" t="s">
        <v>75</v>
      </c>
      <c r="E20" s="7">
        <v>6712</v>
      </c>
      <c r="F20" s="9" t="s">
        <v>108</v>
      </c>
      <c r="G20" s="18" t="s">
        <v>28</v>
      </c>
      <c r="H20" s="9" t="s">
        <v>109</v>
      </c>
      <c r="I20" s="7" t="s">
        <v>110</v>
      </c>
      <c r="J20" s="13" t="s">
        <v>91</v>
      </c>
      <c r="K20" s="12" t="s">
        <v>17</v>
      </c>
      <c r="L20" s="17" t="s">
        <v>14</v>
      </c>
      <c r="M20" s="28" t="s">
        <v>17</v>
      </c>
      <c r="N20" s="28" t="s">
        <v>17</v>
      </c>
      <c r="Q20" cm="1">
        <f t="array" ref="Q20">_xlfn.IFS(N20="PASS",1,M20="PASS",0.75,L20="PASS",0.5,K20="PASS",0.25,K20="FAIL",0)</f>
        <v>0.5</v>
      </c>
    </row>
    <row r="21" spans="1:29" ht="23.25" customHeight="1" x14ac:dyDescent="0.25">
      <c r="A21" s="30" t="s">
        <v>86</v>
      </c>
      <c r="B21" s="30" t="s">
        <v>87</v>
      </c>
      <c r="C21" s="31" t="s">
        <v>10</v>
      </c>
      <c r="D21" s="26" t="s">
        <v>75</v>
      </c>
      <c r="E21" s="7">
        <v>6709</v>
      </c>
      <c r="F21" s="30" t="s">
        <v>88</v>
      </c>
      <c r="G21" s="32" t="s">
        <v>29</v>
      </c>
      <c r="H21" s="30" t="s">
        <v>89</v>
      </c>
      <c r="I21" s="31" t="s">
        <v>90</v>
      </c>
      <c r="J21" s="7" t="s">
        <v>91</v>
      </c>
      <c r="K21" s="11" t="s">
        <v>14</v>
      </c>
      <c r="L21" s="11" t="s">
        <v>14</v>
      </c>
      <c r="M21" s="11" t="s">
        <v>14</v>
      </c>
      <c r="N21" s="11" t="s">
        <v>14</v>
      </c>
      <c r="O21" s="31"/>
      <c r="P21" s="31"/>
      <c r="Q21" cm="1">
        <f t="array" ref="Q21">_xlfn.IFS(N21="PASS",1,M21="PASS",0.75,L21="PASS",0.5,K21="PASS",0.25,K21="FAIL",0)</f>
        <v>1</v>
      </c>
      <c r="R21" s="31"/>
      <c r="S21" s="31"/>
      <c r="T21" s="31"/>
      <c r="U21" s="31"/>
      <c r="V21" s="31"/>
      <c r="W21" s="31"/>
      <c r="X21" s="31"/>
      <c r="Y21" s="31"/>
      <c r="Z21" s="31"/>
      <c r="AA21" s="31"/>
      <c r="AB21" s="31"/>
      <c r="AC21" s="31"/>
    </row>
    <row r="22" spans="1:29" ht="23.25" customHeight="1" x14ac:dyDescent="0.25">
      <c r="A22" s="9" t="s">
        <v>86</v>
      </c>
      <c r="B22" s="9" t="s">
        <v>87</v>
      </c>
      <c r="C22" s="7" t="s">
        <v>10</v>
      </c>
      <c r="D22" s="26" t="s">
        <v>75</v>
      </c>
      <c r="E22" s="7">
        <v>6709</v>
      </c>
      <c r="F22" s="9" t="s">
        <v>92</v>
      </c>
      <c r="G22" s="20" t="s">
        <v>29</v>
      </c>
      <c r="H22" s="9" t="s">
        <v>93</v>
      </c>
      <c r="I22" s="7" t="s">
        <v>94</v>
      </c>
      <c r="J22" s="7" t="s">
        <v>91</v>
      </c>
      <c r="K22" s="11" t="s">
        <v>14</v>
      </c>
      <c r="L22" s="11" t="s">
        <v>14</v>
      </c>
      <c r="M22" s="11" t="s">
        <v>14</v>
      </c>
      <c r="N22" s="12" t="s">
        <v>17</v>
      </c>
      <c r="Q22" cm="1">
        <f t="array" ref="Q22">_xlfn.IFS(N22="PASS",1,M22="PASS",0.75,L22="PASS",0.5,K22="PASS",0.25,K22="FAIL",0)</f>
        <v>0.75</v>
      </c>
    </row>
    <row r="23" spans="1:29" ht="23.25" customHeight="1" x14ac:dyDescent="0.25">
      <c r="A23" s="7" t="s">
        <v>95</v>
      </c>
      <c r="B23" s="9" t="s">
        <v>96</v>
      </c>
      <c r="C23" s="7" t="s">
        <v>10</v>
      </c>
      <c r="D23" s="26" t="s">
        <v>75</v>
      </c>
      <c r="E23" s="7">
        <v>7944</v>
      </c>
      <c r="F23" s="9" t="s">
        <v>97</v>
      </c>
      <c r="G23" s="20" t="s">
        <v>29</v>
      </c>
      <c r="H23" s="9" t="s">
        <v>98</v>
      </c>
      <c r="I23" s="7" t="s">
        <v>99</v>
      </c>
      <c r="J23" s="7" t="s">
        <v>91</v>
      </c>
      <c r="K23" s="11" t="s">
        <v>14</v>
      </c>
      <c r="L23" s="11" t="s">
        <v>14</v>
      </c>
      <c r="M23" s="11" t="s">
        <v>14</v>
      </c>
      <c r="N23" s="11" t="s">
        <v>14</v>
      </c>
      <c r="Q23" cm="1">
        <f t="array" ref="Q23">_xlfn.IFS(N23="PASS",1,M23="PASS",0.75,L23="PASS",0.5,K23="PASS",0.25,K23="FAIL",0)</f>
        <v>1</v>
      </c>
    </row>
    <row r="24" spans="1:29" ht="23.25" customHeight="1" x14ac:dyDescent="0.25">
      <c r="A24" s="7" t="s">
        <v>95</v>
      </c>
      <c r="B24" s="9" t="s">
        <v>96</v>
      </c>
      <c r="C24" s="7" t="s">
        <v>10</v>
      </c>
      <c r="D24" s="26" t="s">
        <v>75</v>
      </c>
      <c r="E24" s="7">
        <v>7944</v>
      </c>
      <c r="F24" s="9" t="s">
        <v>100</v>
      </c>
      <c r="G24" s="20" t="s">
        <v>29</v>
      </c>
      <c r="H24" s="9" t="s">
        <v>101</v>
      </c>
      <c r="I24" s="7" t="s">
        <v>102</v>
      </c>
      <c r="J24" s="7" t="s">
        <v>91</v>
      </c>
      <c r="K24" s="11" t="s">
        <v>14</v>
      </c>
      <c r="L24" s="11" t="s">
        <v>14</v>
      </c>
      <c r="M24" s="11" t="s">
        <v>14</v>
      </c>
      <c r="N24" s="11" t="s">
        <v>14</v>
      </c>
      <c r="Q24" cm="1">
        <f t="array" ref="Q24">_xlfn.IFS(N24="PASS",1,M24="PASS",0.75,L24="PASS",0.5,K24="PASS",0.25,K24="FAIL",0)</f>
        <v>1</v>
      </c>
    </row>
    <row r="25" spans="1:29" ht="23.25" customHeight="1" x14ac:dyDescent="0.25">
      <c r="A25" s="7" t="s">
        <v>103</v>
      </c>
      <c r="B25" s="7" t="s">
        <v>104</v>
      </c>
      <c r="C25" s="7" t="s">
        <v>10</v>
      </c>
      <c r="D25" s="26" t="s">
        <v>75</v>
      </c>
      <c r="E25" s="7">
        <v>6712</v>
      </c>
      <c r="F25" s="9" t="s">
        <v>105</v>
      </c>
      <c r="G25" s="20" t="s">
        <v>29</v>
      </c>
      <c r="H25" s="9" t="s">
        <v>106</v>
      </c>
      <c r="I25" s="7" t="s">
        <v>107</v>
      </c>
      <c r="J25" s="7" t="s">
        <v>91</v>
      </c>
      <c r="K25" s="11" t="s">
        <v>14</v>
      </c>
      <c r="L25" s="11" t="s">
        <v>14</v>
      </c>
      <c r="M25" s="11" t="s">
        <v>14</v>
      </c>
      <c r="N25" s="11" t="s">
        <v>14</v>
      </c>
      <c r="Q25" cm="1">
        <f t="array" ref="Q25">_xlfn.IFS(N25="PASS",1,M25="PASS",0.75,L25="PASS",0.5,K25="PASS",0.25,K25="FAIL",0)</f>
        <v>1</v>
      </c>
    </row>
    <row r="26" spans="1:29" ht="23.25" customHeight="1" x14ac:dyDescent="0.25">
      <c r="A26" s="7" t="s">
        <v>103</v>
      </c>
      <c r="B26" s="7" t="s">
        <v>104</v>
      </c>
      <c r="C26" s="7" t="s">
        <v>10</v>
      </c>
      <c r="D26" s="27" t="s">
        <v>75</v>
      </c>
      <c r="E26" s="7">
        <v>6712</v>
      </c>
      <c r="F26" s="9" t="s">
        <v>108</v>
      </c>
      <c r="G26" s="20" t="s">
        <v>29</v>
      </c>
      <c r="H26" s="9" t="s">
        <v>109</v>
      </c>
      <c r="I26" s="7" t="s">
        <v>110</v>
      </c>
      <c r="J26" s="7" t="s">
        <v>91</v>
      </c>
      <c r="K26" s="11" t="s">
        <v>14</v>
      </c>
      <c r="L26" s="11" t="s">
        <v>14</v>
      </c>
      <c r="M26" s="12" t="s">
        <v>17</v>
      </c>
      <c r="N26" s="12" t="s">
        <v>17</v>
      </c>
      <c r="Q26" cm="1">
        <f t="array" ref="Q26">_xlfn.IFS(N26="PASS",1,M26="PASS",0.75,L26="PASS",0.5,K26="PASS",0.25,K26="FAIL",0)</f>
        <v>0.5</v>
      </c>
    </row>
    <row r="27" spans="1:29" ht="12.5" x14ac:dyDescent="0.25">
      <c r="K27" s="21">
        <f t="shared" ref="K27:N27" si="0">(COUNTIF(K3:K26,"PASS") / (COUNTIF(K3:K26,"PASS") + COUNTIF(K3:K26,"FAIL"))) * 100</f>
        <v>79.166666666666657</v>
      </c>
      <c r="L27" s="21">
        <f t="shared" si="0"/>
        <v>87.5</v>
      </c>
      <c r="M27" s="21">
        <f t="shared" si="0"/>
        <v>54.166666666666664</v>
      </c>
      <c r="N27" s="21">
        <f t="shared" si="0"/>
        <v>37.5</v>
      </c>
    </row>
  </sheetData>
  <mergeCells count="3">
    <mergeCell ref="B1:E1"/>
    <mergeCell ref="F1:G1"/>
    <mergeCell ref="H1:P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27"/>
  <sheetViews>
    <sheetView topLeftCell="B1" workbookViewId="0">
      <selection activeCell="G7" sqref="G7"/>
    </sheetView>
  </sheetViews>
  <sheetFormatPr defaultColWidth="12.6328125" defaultRowHeight="15.75" customHeight="1" x14ac:dyDescent="0.25"/>
  <cols>
    <col min="1" max="1" width="15.6328125" customWidth="1"/>
    <col min="2" max="2" width="27.6328125" customWidth="1"/>
    <col min="6" max="6" width="38.26953125" customWidth="1"/>
    <col min="7" max="7" width="16.26953125" customWidth="1"/>
    <col min="8" max="8" width="29.7265625" customWidth="1"/>
    <col min="9" max="9" width="20.08984375" customWidth="1"/>
    <col min="15" max="15" width="22.90625" hidden="1" customWidth="1"/>
    <col min="16" max="16" width="12.6328125" hidden="1"/>
  </cols>
  <sheetData>
    <row r="1" spans="1:29" ht="21" customHeight="1" x14ac:dyDescent="0.35">
      <c r="A1" s="1"/>
      <c r="B1" s="34" t="s">
        <v>0</v>
      </c>
      <c r="C1" s="35"/>
      <c r="D1" s="35"/>
      <c r="E1" s="35"/>
      <c r="F1" s="36"/>
      <c r="G1" s="35"/>
      <c r="H1" s="37"/>
      <c r="I1" s="35"/>
      <c r="J1" s="35"/>
      <c r="K1" s="35"/>
      <c r="L1" s="35"/>
      <c r="M1" s="35"/>
      <c r="N1" s="35"/>
      <c r="O1" s="35"/>
      <c r="P1" s="35"/>
      <c r="Q1" s="23" t="s">
        <v>30</v>
      </c>
      <c r="R1" s="2"/>
      <c r="S1" s="2"/>
      <c r="T1" s="2"/>
      <c r="U1" s="2"/>
      <c r="V1" s="2"/>
      <c r="W1" s="2"/>
      <c r="X1" s="2"/>
      <c r="Y1" s="2"/>
      <c r="Z1" s="2"/>
      <c r="AA1" s="2"/>
      <c r="AB1" s="2"/>
      <c r="AC1" s="2"/>
    </row>
    <row r="2" spans="1:29" ht="20.25" customHeight="1" x14ac:dyDescent="0.3">
      <c r="A2" s="3"/>
      <c r="B2" s="3" t="s">
        <v>2</v>
      </c>
      <c r="C2" s="3" t="s">
        <v>3</v>
      </c>
      <c r="D2" s="3" t="s">
        <v>4</v>
      </c>
      <c r="E2" s="3" t="s">
        <v>5</v>
      </c>
      <c r="F2" s="4" t="s">
        <v>1</v>
      </c>
      <c r="G2" s="3" t="s">
        <v>6</v>
      </c>
      <c r="H2" s="3" t="s">
        <v>31</v>
      </c>
      <c r="I2" s="3" t="s">
        <v>32</v>
      </c>
      <c r="J2" s="3" t="s">
        <v>33</v>
      </c>
      <c r="K2" s="5">
        <v>0.25</v>
      </c>
      <c r="L2" s="5">
        <v>0.5</v>
      </c>
      <c r="M2" s="5">
        <v>0.75</v>
      </c>
      <c r="N2" s="5">
        <v>1</v>
      </c>
      <c r="O2" s="3" t="s">
        <v>7</v>
      </c>
      <c r="P2" s="3" t="s">
        <v>8</v>
      </c>
      <c r="Q2" s="3" t="s">
        <v>34</v>
      </c>
      <c r="R2" s="6"/>
      <c r="S2" s="6"/>
      <c r="T2" s="6"/>
      <c r="U2" s="6"/>
      <c r="V2" s="6"/>
      <c r="W2" s="6"/>
      <c r="X2" s="6"/>
      <c r="Y2" s="6"/>
      <c r="Z2" s="6"/>
      <c r="AA2" s="6"/>
      <c r="AB2" s="6"/>
      <c r="AC2" s="6"/>
    </row>
    <row r="3" spans="1:29" ht="23.25" customHeight="1" x14ac:dyDescent="0.25">
      <c r="A3" s="9" t="s">
        <v>86</v>
      </c>
      <c r="B3" s="9" t="s">
        <v>87</v>
      </c>
      <c r="C3" s="7" t="s">
        <v>10</v>
      </c>
      <c r="D3" s="8" t="s">
        <v>111</v>
      </c>
      <c r="E3" s="7">
        <v>508</v>
      </c>
      <c r="F3" s="9" t="s">
        <v>88</v>
      </c>
      <c r="G3" t="s">
        <v>13</v>
      </c>
      <c r="H3" s="9" t="s">
        <v>89</v>
      </c>
      <c r="I3" s="7" t="s">
        <v>90</v>
      </c>
      <c r="J3" s="7" t="s">
        <v>91</v>
      </c>
      <c r="K3" s="11" t="s">
        <v>14</v>
      </c>
      <c r="L3" s="11" t="s">
        <v>14</v>
      </c>
      <c r="M3" s="11" t="s">
        <v>14</v>
      </c>
      <c r="N3" s="11" t="s">
        <v>14</v>
      </c>
      <c r="Q3" cm="1">
        <f t="array" ref="Q3">_xlfn.IFS(N3="PASS",1,M3="PASS",0.75,L3="PASS",0.5,K3="PASS",0.25,K3="FAIL",0)</f>
        <v>1</v>
      </c>
    </row>
    <row r="4" spans="1:29" ht="23.25" customHeight="1" x14ac:dyDescent="0.25">
      <c r="A4" s="9" t="s">
        <v>86</v>
      </c>
      <c r="B4" s="9" t="s">
        <v>87</v>
      </c>
      <c r="C4" s="7" t="s">
        <v>10</v>
      </c>
      <c r="D4" s="8" t="s">
        <v>111</v>
      </c>
      <c r="E4" s="7">
        <v>508</v>
      </c>
      <c r="F4" s="9" t="s">
        <v>92</v>
      </c>
      <c r="G4" t="s">
        <v>13</v>
      </c>
      <c r="H4" s="9" t="s">
        <v>93</v>
      </c>
      <c r="I4" s="7" t="s">
        <v>94</v>
      </c>
      <c r="J4" s="7" t="s">
        <v>91</v>
      </c>
      <c r="K4" s="11" t="s">
        <v>14</v>
      </c>
      <c r="L4" s="11" t="s">
        <v>14</v>
      </c>
      <c r="M4" s="12" t="s">
        <v>17</v>
      </c>
      <c r="N4" s="12" t="s">
        <v>17</v>
      </c>
      <c r="Q4" cm="1">
        <f t="array" ref="Q4">_xlfn.IFS(N4="PASS",1,M4="PASS",0.75,L4="PASS",0.5,K4="PASS",0.25,K4="FAIL",0)</f>
        <v>0.5</v>
      </c>
    </row>
    <row r="5" spans="1:29" ht="23.25" customHeight="1" x14ac:dyDescent="0.25">
      <c r="A5" s="7" t="s">
        <v>95</v>
      </c>
      <c r="B5" s="9" t="s">
        <v>96</v>
      </c>
      <c r="C5" s="7" t="s">
        <v>10</v>
      </c>
      <c r="D5" s="8" t="s">
        <v>111</v>
      </c>
      <c r="E5" s="7">
        <v>452</v>
      </c>
      <c r="F5" s="9" t="s">
        <v>97</v>
      </c>
      <c r="G5" t="s">
        <v>13</v>
      </c>
      <c r="H5" s="9" t="s">
        <v>98</v>
      </c>
      <c r="I5" s="7" t="s">
        <v>99</v>
      </c>
      <c r="J5" s="7" t="s">
        <v>91</v>
      </c>
      <c r="K5" s="11" t="s">
        <v>14</v>
      </c>
      <c r="L5" s="11" t="s">
        <v>14</v>
      </c>
      <c r="M5" s="11" t="s">
        <v>14</v>
      </c>
      <c r="N5" s="12" t="s">
        <v>17</v>
      </c>
      <c r="Q5" cm="1">
        <f t="array" ref="Q5">_xlfn.IFS(N5="PASS",1,M5="PASS",0.75,L5="PASS",0.5,K5="PASS",0.25,K5="FAIL",0)</f>
        <v>0.75</v>
      </c>
    </row>
    <row r="6" spans="1:29" ht="23.25" customHeight="1" x14ac:dyDescent="0.25">
      <c r="A6" s="7" t="s">
        <v>95</v>
      </c>
      <c r="B6" s="9" t="s">
        <v>96</v>
      </c>
      <c r="C6" s="7" t="s">
        <v>10</v>
      </c>
      <c r="D6" s="8" t="s">
        <v>111</v>
      </c>
      <c r="E6" s="7">
        <v>452</v>
      </c>
      <c r="F6" s="9" t="s">
        <v>100</v>
      </c>
      <c r="G6" t="s">
        <v>13</v>
      </c>
      <c r="H6" s="9" t="s">
        <v>101</v>
      </c>
      <c r="I6" s="7" t="s">
        <v>102</v>
      </c>
      <c r="J6" s="7" t="s">
        <v>91</v>
      </c>
      <c r="K6" s="11" t="s">
        <v>14</v>
      </c>
      <c r="L6" s="11" t="s">
        <v>14</v>
      </c>
      <c r="M6" s="12" t="s">
        <v>17</v>
      </c>
      <c r="N6" s="12" t="s">
        <v>17</v>
      </c>
      <c r="Q6" cm="1">
        <f t="array" ref="Q6">_xlfn.IFS(N6="PASS",1,M6="PASS",0.75,L6="PASS",0.5,K6="PASS",0.25,K6="FAIL",0)</f>
        <v>0.5</v>
      </c>
    </row>
    <row r="7" spans="1:29" ht="23.25" customHeight="1" x14ac:dyDescent="0.25">
      <c r="A7" s="7" t="s">
        <v>103</v>
      </c>
      <c r="B7" s="7" t="s">
        <v>104</v>
      </c>
      <c r="C7" s="7" t="s">
        <v>10</v>
      </c>
      <c r="D7" s="8" t="s">
        <v>111</v>
      </c>
      <c r="E7" s="7">
        <v>508</v>
      </c>
      <c r="F7" s="9" t="s">
        <v>105</v>
      </c>
      <c r="G7" t="s">
        <v>13</v>
      </c>
      <c r="H7" s="9" t="s">
        <v>106</v>
      </c>
      <c r="I7" s="7" t="s">
        <v>107</v>
      </c>
      <c r="J7" s="7" t="s">
        <v>91</v>
      </c>
      <c r="K7" s="11" t="s">
        <v>14</v>
      </c>
      <c r="L7" s="11" t="s">
        <v>14</v>
      </c>
      <c r="M7" s="11" t="s">
        <v>14</v>
      </c>
      <c r="N7" s="11" t="s">
        <v>14</v>
      </c>
      <c r="Q7" cm="1">
        <f t="array" ref="Q7">_xlfn.IFS(N7="PASS",1,M7="PASS",0.75,L7="PASS",0.5,K7="PASS",0.25,K7="FAIL",0)</f>
        <v>1</v>
      </c>
    </row>
    <row r="8" spans="1:29" ht="23.25" customHeight="1" x14ac:dyDescent="0.25">
      <c r="A8" s="7" t="s">
        <v>103</v>
      </c>
      <c r="B8" s="7" t="s">
        <v>104</v>
      </c>
      <c r="C8" s="7" t="s">
        <v>10</v>
      </c>
      <c r="D8" s="8" t="s">
        <v>111</v>
      </c>
      <c r="E8" s="7">
        <v>508</v>
      </c>
      <c r="F8" s="9" t="s">
        <v>108</v>
      </c>
      <c r="G8" t="s">
        <v>13</v>
      </c>
      <c r="H8" s="9" t="s">
        <v>109</v>
      </c>
      <c r="I8" s="7" t="s">
        <v>110</v>
      </c>
      <c r="J8" s="13" t="s">
        <v>91</v>
      </c>
      <c r="K8" s="28" t="s">
        <v>17</v>
      </c>
      <c r="L8" s="28" t="s">
        <v>17</v>
      </c>
      <c r="M8" s="28" t="s">
        <v>17</v>
      </c>
      <c r="N8" s="28" t="s">
        <v>17</v>
      </c>
      <c r="Q8" cm="1">
        <f t="array" ref="Q8">_xlfn.IFS(N8="PASS",1,M8="PASS",0.75,L8="PASS",0.5,K8="PASS",0.25,K8="FAIL",0)</f>
        <v>0</v>
      </c>
    </row>
    <row r="9" spans="1:29" ht="23.25" customHeight="1" x14ac:dyDescent="0.25">
      <c r="A9" s="30" t="s">
        <v>86</v>
      </c>
      <c r="B9" s="30" t="s">
        <v>87</v>
      </c>
      <c r="C9" s="31" t="s">
        <v>10</v>
      </c>
      <c r="D9" s="33" t="s">
        <v>111</v>
      </c>
      <c r="E9" s="31">
        <v>508</v>
      </c>
      <c r="F9" s="30" t="s">
        <v>88</v>
      </c>
      <c r="G9" s="8" t="s">
        <v>27</v>
      </c>
      <c r="H9" s="30" t="s">
        <v>89</v>
      </c>
      <c r="I9" s="31" t="s">
        <v>90</v>
      </c>
      <c r="J9" s="7" t="s">
        <v>91</v>
      </c>
      <c r="K9" s="11" t="s">
        <v>14</v>
      </c>
      <c r="L9" s="11" t="s">
        <v>14</v>
      </c>
      <c r="M9" s="11" t="s">
        <v>14</v>
      </c>
      <c r="N9" s="11" t="s">
        <v>14</v>
      </c>
      <c r="O9" s="31"/>
      <c r="P9" s="31"/>
      <c r="Q9" cm="1">
        <f t="array" ref="Q9">_xlfn.IFS(N9="PASS",1,M9="PASS",0.75,L9="PASS",0.5,K9="PASS",0.25,K9="FAIL",0)</f>
        <v>1</v>
      </c>
      <c r="R9" s="31"/>
      <c r="S9" s="31"/>
      <c r="T9" s="31"/>
      <c r="U9" s="31"/>
      <c r="V9" s="31"/>
      <c r="W9" s="31"/>
      <c r="X9" s="31"/>
      <c r="Y9" s="31"/>
      <c r="Z9" s="31"/>
      <c r="AA9" s="31"/>
      <c r="AB9" s="31"/>
      <c r="AC9" s="31"/>
    </row>
    <row r="10" spans="1:29" ht="23.25" customHeight="1" x14ac:dyDescent="0.25">
      <c r="A10" s="9" t="s">
        <v>86</v>
      </c>
      <c r="B10" s="9" t="s">
        <v>87</v>
      </c>
      <c r="C10" s="7" t="s">
        <v>10</v>
      </c>
      <c r="D10" s="8" t="s">
        <v>111</v>
      </c>
      <c r="E10" s="7">
        <v>508</v>
      </c>
      <c r="F10" s="9" t="s">
        <v>92</v>
      </c>
      <c r="G10" s="8" t="s">
        <v>27</v>
      </c>
      <c r="H10" s="9" t="s">
        <v>93</v>
      </c>
      <c r="I10" s="7" t="s">
        <v>94</v>
      </c>
      <c r="J10" s="7" t="s">
        <v>91</v>
      </c>
      <c r="K10" s="11" t="s">
        <v>14</v>
      </c>
      <c r="L10" s="11" t="s">
        <v>14</v>
      </c>
      <c r="M10" s="12" t="s">
        <v>17</v>
      </c>
      <c r="N10" s="12" t="s">
        <v>17</v>
      </c>
      <c r="Q10" cm="1">
        <f t="array" ref="Q10">_xlfn.IFS(N10="PASS",1,M10="PASS",0.75,L10="PASS",0.5,K10="PASS",0.25,K10="FAIL",0)</f>
        <v>0.5</v>
      </c>
    </row>
    <row r="11" spans="1:29" ht="23.25" customHeight="1" x14ac:dyDescent="0.25">
      <c r="A11" s="7" t="s">
        <v>95</v>
      </c>
      <c r="B11" s="9" t="s">
        <v>96</v>
      </c>
      <c r="C11" s="7" t="s">
        <v>10</v>
      </c>
      <c r="D11" s="8" t="s">
        <v>111</v>
      </c>
      <c r="E11" s="7">
        <v>452</v>
      </c>
      <c r="F11" s="9" t="s">
        <v>97</v>
      </c>
      <c r="G11" s="8" t="s">
        <v>27</v>
      </c>
      <c r="H11" s="9" t="s">
        <v>98</v>
      </c>
      <c r="I11" s="7" t="s">
        <v>99</v>
      </c>
      <c r="J11" s="7" t="s">
        <v>91</v>
      </c>
      <c r="K11" s="11" t="s">
        <v>14</v>
      </c>
      <c r="L11" s="12" t="s">
        <v>17</v>
      </c>
      <c r="M11" s="11" t="s">
        <v>14</v>
      </c>
      <c r="N11" s="12" t="s">
        <v>17</v>
      </c>
      <c r="Q11" cm="1">
        <f t="array" ref="Q11">_xlfn.IFS(N11="PASS",1,M11="PASS",0.75,L11="PASS",0.5,K11="PASS",0.25,K11="FAIL",0)</f>
        <v>0.75</v>
      </c>
    </row>
    <row r="12" spans="1:29" ht="23.25" customHeight="1" x14ac:dyDescent="0.25">
      <c r="A12" s="7" t="s">
        <v>95</v>
      </c>
      <c r="B12" s="9" t="s">
        <v>96</v>
      </c>
      <c r="C12" s="7" t="s">
        <v>10</v>
      </c>
      <c r="D12" s="8" t="s">
        <v>111</v>
      </c>
      <c r="E12" s="7">
        <v>452</v>
      </c>
      <c r="F12" s="9" t="s">
        <v>100</v>
      </c>
      <c r="G12" s="8" t="s">
        <v>27</v>
      </c>
      <c r="H12" s="9" t="s">
        <v>101</v>
      </c>
      <c r="I12" s="7" t="s">
        <v>102</v>
      </c>
      <c r="J12" s="7" t="s">
        <v>91</v>
      </c>
      <c r="K12" s="11" t="s">
        <v>14</v>
      </c>
      <c r="L12" s="11" t="s">
        <v>14</v>
      </c>
      <c r="M12" s="11" t="s">
        <v>14</v>
      </c>
      <c r="N12" s="11" t="s">
        <v>14</v>
      </c>
      <c r="Q12" cm="1">
        <f t="array" ref="Q12">_xlfn.IFS(N12="PASS",1,M12="PASS",0.75,L12="PASS",0.5,K12="PASS",0.25,K12="FAIL",0)</f>
        <v>1</v>
      </c>
    </row>
    <row r="13" spans="1:29" ht="23.25" customHeight="1" x14ac:dyDescent="0.25">
      <c r="A13" s="7" t="s">
        <v>103</v>
      </c>
      <c r="B13" s="7" t="s">
        <v>104</v>
      </c>
      <c r="C13" s="7" t="s">
        <v>10</v>
      </c>
      <c r="D13" s="8" t="s">
        <v>111</v>
      </c>
      <c r="E13" s="7">
        <v>508</v>
      </c>
      <c r="F13" s="9" t="s">
        <v>105</v>
      </c>
      <c r="G13" s="8" t="s">
        <v>27</v>
      </c>
      <c r="H13" s="9" t="s">
        <v>106</v>
      </c>
      <c r="I13" s="7" t="s">
        <v>107</v>
      </c>
      <c r="J13" s="7" t="s">
        <v>91</v>
      </c>
      <c r="K13" s="11" t="s">
        <v>14</v>
      </c>
      <c r="L13" s="11" t="s">
        <v>14</v>
      </c>
      <c r="M13" s="11" t="s">
        <v>14</v>
      </c>
      <c r="N13" s="11" t="s">
        <v>14</v>
      </c>
      <c r="Q13" cm="1">
        <f t="array" ref="Q13">_xlfn.IFS(N13="PASS",1,M13="PASS",0.75,L13="PASS",0.5,K13="PASS",0.25,K13="FAIL",0)</f>
        <v>1</v>
      </c>
    </row>
    <row r="14" spans="1:29" ht="23.25" customHeight="1" x14ac:dyDescent="0.25">
      <c r="A14" s="7" t="s">
        <v>103</v>
      </c>
      <c r="B14" s="7" t="s">
        <v>104</v>
      </c>
      <c r="C14" s="7" t="s">
        <v>10</v>
      </c>
      <c r="D14" s="8" t="s">
        <v>111</v>
      </c>
      <c r="E14" s="7">
        <v>508</v>
      </c>
      <c r="F14" s="9" t="s">
        <v>108</v>
      </c>
      <c r="G14" s="14" t="s">
        <v>27</v>
      </c>
      <c r="H14" s="9" t="s">
        <v>109</v>
      </c>
      <c r="I14" s="7" t="s">
        <v>110</v>
      </c>
      <c r="J14" s="13" t="s">
        <v>91</v>
      </c>
      <c r="K14" s="17" t="s">
        <v>14</v>
      </c>
      <c r="L14" s="17" t="s">
        <v>14</v>
      </c>
      <c r="M14" s="17" t="s">
        <v>14</v>
      </c>
      <c r="N14" s="17" t="s">
        <v>14</v>
      </c>
      <c r="Q14" cm="1">
        <f t="array" ref="Q14">_xlfn.IFS(N14="PASS",1,M14="PASS",0.75,L14="PASS",0.5,K14="PASS",0.25,K14="FAIL",0)</f>
        <v>1</v>
      </c>
    </row>
    <row r="15" spans="1:29" ht="23.25" customHeight="1" x14ac:dyDescent="0.25">
      <c r="A15" s="30" t="s">
        <v>86</v>
      </c>
      <c r="B15" s="30" t="s">
        <v>87</v>
      </c>
      <c r="C15" s="31" t="s">
        <v>10</v>
      </c>
      <c r="D15" s="33" t="s">
        <v>111</v>
      </c>
      <c r="E15" s="31">
        <v>508</v>
      </c>
      <c r="F15" s="30" t="s">
        <v>88</v>
      </c>
      <c r="G15" s="18" t="s">
        <v>28</v>
      </c>
      <c r="H15" s="30" t="s">
        <v>89</v>
      </c>
      <c r="I15" s="31" t="s">
        <v>90</v>
      </c>
      <c r="J15" s="7" t="s">
        <v>91</v>
      </c>
      <c r="K15" s="11" t="s">
        <v>14</v>
      </c>
      <c r="L15" s="11" t="s">
        <v>14</v>
      </c>
      <c r="M15" s="11" t="s">
        <v>14</v>
      </c>
      <c r="N15" s="11" t="s">
        <v>14</v>
      </c>
      <c r="O15" s="31"/>
      <c r="P15" s="31"/>
      <c r="Q15" cm="1">
        <f t="array" ref="Q15">_xlfn.IFS(N15="PASS",1,M15="PASS",0.75,L15="PASS",0.5,K15="PASS",0.25,K15="FAIL",0)</f>
        <v>1</v>
      </c>
      <c r="R15" s="31"/>
      <c r="S15" s="31"/>
      <c r="T15" s="31"/>
      <c r="U15" s="31"/>
      <c r="V15" s="31"/>
      <c r="W15" s="31"/>
      <c r="X15" s="31"/>
      <c r="Y15" s="31"/>
      <c r="Z15" s="31"/>
      <c r="AA15" s="31"/>
      <c r="AB15" s="31"/>
      <c r="AC15" s="31"/>
    </row>
    <row r="16" spans="1:29" ht="23.25" customHeight="1" x14ac:dyDescent="0.25">
      <c r="A16" s="9" t="s">
        <v>86</v>
      </c>
      <c r="B16" s="9" t="s">
        <v>87</v>
      </c>
      <c r="C16" s="7" t="s">
        <v>10</v>
      </c>
      <c r="D16" s="8" t="s">
        <v>111</v>
      </c>
      <c r="E16" s="7">
        <v>508</v>
      </c>
      <c r="F16" s="9" t="s">
        <v>92</v>
      </c>
      <c r="G16" s="18" t="s">
        <v>28</v>
      </c>
      <c r="H16" s="9" t="s">
        <v>93</v>
      </c>
      <c r="I16" s="7" t="s">
        <v>94</v>
      </c>
      <c r="J16" s="7" t="s">
        <v>91</v>
      </c>
      <c r="K16" s="11" t="s">
        <v>14</v>
      </c>
      <c r="L16" s="12" t="s">
        <v>17</v>
      </c>
      <c r="M16" s="12" t="s">
        <v>17</v>
      </c>
      <c r="N16" s="12" t="s">
        <v>17</v>
      </c>
      <c r="Q16" cm="1">
        <f t="array" ref="Q16">_xlfn.IFS(N16="PASS",1,M16="PASS",0.75,L16="PASS",0.5,K16="PASS",0.25,K16="FAIL",0)</f>
        <v>0.25</v>
      </c>
    </row>
    <row r="17" spans="1:29" ht="23.25" customHeight="1" x14ac:dyDescent="0.25">
      <c r="A17" s="7" t="s">
        <v>95</v>
      </c>
      <c r="B17" s="9" t="s">
        <v>96</v>
      </c>
      <c r="C17" s="7" t="s">
        <v>10</v>
      </c>
      <c r="D17" s="8" t="s">
        <v>111</v>
      </c>
      <c r="E17" s="7">
        <v>452</v>
      </c>
      <c r="F17" s="9" t="s">
        <v>97</v>
      </c>
      <c r="G17" s="18" t="s">
        <v>28</v>
      </c>
      <c r="H17" s="9" t="s">
        <v>98</v>
      </c>
      <c r="I17" s="7" t="s">
        <v>99</v>
      </c>
      <c r="J17" s="7" t="s">
        <v>91</v>
      </c>
      <c r="K17" s="11" t="s">
        <v>14</v>
      </c>
      <c r="L17" s="11" t="s">
        <v>14</v>
      </c>
      <c r="M17" s="11" t="s">
        <v>14</v>
      </c>
      <c r="N17" s="12" t="s">
        <v>17</v>
      </c>
      <c r="Q17" cm="1">
        <f t="array" ref="Q17">_xlfn.IFS(N17="PASS",1,M17="PASS",0.75,L17="PASS",0.5,K17="PASS",0.25,K17="FAIL",0)</f>
        <v>0.75</v>
      </c>
    </row>
    <row r="18" spans="1:29" ht="23.25" customHeight="1" x14ac:dyDescent="0.25">
      <c r="A18" s="7" t="s">
        <v>95</v>
      </c>
      <c r="B18" s="9" t="s">
        <v>96</v>
      </c>
      <c r="C18" s="7" t="s">
        <v>10</v>
      </c>
      <c r="D18" s="8" t="s">
        <v>111</v>
      </c>
      <c r="E18" s="7">
        <v>452</v>
      </c>
      <c r="F18" s="9" t="s">
        <v>100</v>
      </c>
      <c r="G18" s="18" t="s">
        <v>28</v>
      </c>
      <c r="H18" s="9" t="s">
        <v>101</v>
      </c>
      <c r="I18" s="7" t="s">
        <v>102</v>
      </c>
      <c r="J18" s="7" t="s">
        <v>91</v>
      </c>
      <c r="K18" s="11" t="s">
        <v>14</v>
      </c>
      <c r="L18" s="11" t="s">
        <v>14</v>
      </c>
      <c r="M18" s="11" t="s">
        <v>14</v>
      </c>
      <c r="N18" s="12" t="s">
        <v>17</v>
      </c>
      <c r="Q18" cm="1">
        <f t="array" ref="Q18">_xlfn.IFS(N18="PASS",1,M18="PASS",0.75,L18="PASS",0.5,K18="PASS",0.25,K18="FAIL",0)</f>
        <v>0.75</v>
      </c>
    </row>
    <row r="19" spans="1:29" ht="23.25" customHeight="1" x14ac:dyDescent="0.25">
      <c r="A19" s="7" t="s">
        <v>103</v>
      </c>
      <c r="B19" s="7" t="s">
        <v>104</v>
      </c>
      <c r="C19" s="7" t="s">
        <v>10</v>
      </c>
      <c r="D19" s="8" t="s">
        <v>111</v>
      </c>
      <c r="E19" s="7">
        <v>508</v>
      </c>
      <c r="F19" s="9" t="s">
        <v>105</v>
      </c>
      <c r="G19" s="18" t="s">
        <v>28</v>
      </c>
      <c r="H19" s="9" t="s">
        <v>106</v>
      </c>
      <c r="I19" s="7" t="s">
        <v>107</v>
      </c>
      <c r="J19" s="7" t="s">
        <v>91</v>
      </c>
      <c r="K19" s="11" t="s">
        <v>14</v>
      </c>
      <c r="L19" s="11" t="s">
        <v>14</v>
      </c>
      <c r="M19" s="11" t="s">
        <v>14</v>
      </c>
      <c r="N19" s="11" t="s">
        <v>14</v>
      </c>
      <c r="Q19" cm="1">
        <f t="array" ref="Q19">_xlfn.IFS(N19="PASS",1,M19="PASS",0.75,L19="PASS",0.5,K19="PASS",0.25,K19="FAIL",0)</f>
        <v>1</v>
      </c>
    </row>
    <row r="20" spans="1:29" ht="23.25" customHeight="1" x14ac:dyDescent="0.25">
      <c r="A20" s="7" t="s">
        <v>103</v>
      </c>
      <c r="B20" s="7" t="s">
        <v>104</v>
      </c>
      <c r="C20" s="7" t="s">
        <v>10</v>
      </c>
      <c r="D20" s="8" t="s">
        <v>111</v>
      </c>
      <c r="E20" s="7">
        <v>508</v>
      </c>
      <c r="F20" s="9" t="s">
        <v>108</v>
      </c>
      <c r="G20" s="18" t="s">
        <v>28</v>
      </c>
      <c r="H20" s="9" t="s">
        <v>109</v>
      </c>
      <c r="I20" s="7" t="s">
        <v>110</v>
      </c>
      <c r="J20" s="13" t="s">
        <v>91</v>
      </c>
      <c r="K20" s="17" t="s">
        <v>14</v>
      </c>
      <c r="L20" s="28" t="s">
        <v>17</v>
      </c>
      <c r="M20" s="28" t="s">
        <v>17</v>
      </c>
      <c r="N20" s="28" t="s">
        <v>17</v>
      </c>
      <c r="Q20" cm="1">
        <f t="array" ref="Q20">_xlfn.IFS(N20="PASS",1,M20="PASS",0.75,L20="PASS",0.5,K20="PASS",0.25,K20="FAIL",0)</f>
        <v>0.25</v>
      </c>
    </row>
    <row r="21" spans="1:29" ht="23.25" customHeight="1" x14ac:dyDescent="0.25">
      <c r="A21" s="30" t="s">
        <v>86</v>
      </c>
      <c r="B21" s="30" t="s">
        <v>87</v>
      </c>
      <c r="C21" s="31" t="s">
        <v>10</v>
      </c>
      <c r="D21" s="33" t="s">
        <v>111</v>
      </c>
      <c r="E21" s="31">
        <v>508</v>
      </c>
      <c r="F21" s="30" t="s">
        <v>88</v>
      </c>
      <c r="G21" s="32" t="s">
        <v>29</v>
      </c>
      <c r="H21" s="30" t="s">
        <v>89</v>
      </c>
      <c r="I21" s="31" t="s">
        <v>90</v>
      </c>
      <c r="J21" s="7" t="s">
        <v>91</v>
      </c>
      <c r="K21" s="11" t="s">
        <v>14</v>
      </c>
      <c r="L21" s="11" t="s">
        <v>14</v>
      </c>
      <c r="M21" s="11" t="s">
        <v>14</v>
      </c>
      <c r="N21" s="11" t="s">
        <v>14</v>
      </c>
      <c r="O21" s="31"/>
      <c r="P21" s="31"/>
      <c r="Q21" cm="1">
        <f t="array" ref="Q21">_xlfn.IFS(N21="PASS",1,M21="PASS",0.75,L21="PASS",0.5,K21="PASS",0.25,K21="FAIL",0)</f>
        <v>1</v>
      </c>
      <c r="R21" s="31"/>
      <c r="S21" s="31"/>
      <c r="T21" s="31"/>
      <c r="U21" s="31"/>
      <c r="V21" s="31"/>
      <c r="W21" s="31"/>
      <c r="X21" s="31"/>
      <c r="Y21" s="31"/>
      <c r="Z21" s="31"/>
      <c r="AA21" s="31"/>
      <c r="AB21" s="31"/>
      <c r="AC21" s="31"/>
    </row>
    <row r="22" spans="1:29" ht="23.25" customHeight="1" x14ac:dyDescent="0.25">
      <c r="A22" s="9" t="s">
        <v>86</v>
      </c>
      <c r="B22" s="9" t="s">
        <v>87</v>
      </c>
      <c r="C22" s="7" t="s">
        <v>10</v>
      </c>
      <c r="D22" s="8" t="s">
        <v>111</v>
      </c>
      <c r="E22" s="7">
        <v>508</v>
      </c>
      <c r="F22" s="9" t="s">
        <v>92</v>
      </c>
      <c r="G22" s="20" t="s">
        <v>29</v>
      </c>
      <c r="H22" s="9" t="s">
        <v>93</v>
      </c>
      <c r="I22" s="7" t="s">
        <v>94</v>
      </c>
      <c r="J22" s="7" t="s">
        <v>91</v>
      </c>
      <c r="K22" s="11" t="s">
        <v>14</v>
      </c>
      <c r="L22" s="11" t="s">
        <v>14</v>
      </c>
      <c r="M22" s="11" t="s">
        <v>14</v>
      </c>
      <c r="N22" s="12" t="s">
        <v>17</v>
      </c>
      <c r="Q22" cm="1">
        <f t="array" ref="Q22">_xlfn.IFS(N22="PASS",1,M22="PASS",0.75,L22="PASS",0.5,K22="PASS",0.25,K22="FAIL",0)</f>
        <v>0.75</v>
      </c>
    </row>
    <row r="23" spans="1:29" ht="23.25" customHeight="1" x14ac:dyDescent="0.25">
      <c r="A23" s="7" t="s">
        <v>95</v>
      </c>
      <c r="B23" s="9" t="s">
        <v>96</v>
      </c>
      <c r="C23" s="7" t="s">
        <v>10</v>
      </c>
      <c r="D23" s="8" t="s">
        <v>111</v>
      </c>
      <c r="E23" s="7">
        <v>452</v>
      </c>
      <c r="F23" s="9" t="s">
        <v>97</v>
      </c>
      <c r="G23" s="20" t="s">
        <v>29</v>
      </c>
      <c r="H23" s="9" t="s">
        <v>98</v>
      </c>
      <c r="I23" s="7" t="s">
        <v>99</v>
      </c>
      <c r="J23" s="7" t="s">
        <v>91</v>
      </c>
      <c r="K23" s="11" t="s">
        <v>14</v>
      </c>
      <c r="L23" s="11" t="s">
        <v>14</v>
      </c>
      <c r="M23" s="11" t="s">
        <v>14</v>
      </c>
      <c r="N23" s="11" t="s">
        <v>14</v>
      </c>
      <c r="Q23" cm="1">
        <f t="array" ref="Q23">_xlfn.IFS(N23="PASS",1,M23="PASS",0.75,L23="PASS",0.5,K23="PASS",0.25,K23="FAIL",0)</f>
        <v>1</v>
      </c>
    </row>
    <row r="24" spans="1:29" ht="23.25" customHeight="1" x14ac:dyDescent="0.25">
      <c r="A24" s="7" t="s">
        <v>95</v>
      </c>
      <c r="B24" s="9" t="s">
        <v>96</v>
      </c>
      <c r="C24" s="7" t="s">
        <v>10</v>
      </c>
      <c r="D24" s="8" t="s">
        <v>111</v>
      </c>
      <c r="E24" s="7">
        <v>452</v>
      </c>
      <c r="F24" s="9" t="s">
        <v>100</v>
      </c>
      <c r="G24" s="20" t="s">
        <v>29</v>
      </c>
      <c r="H24" s="9" t="s">
        <v>101</v>
      </c>
      <c r="I24" s="7" t="s">
        <v>102</v>
      </c>
      <c r="J24" s="7" t="s">
        <v>91</v>
      </c>
      <c r="K24" s="11" t="s">
        <v>14</v>
      </c>
      <c r="L24" s="11" t="s">
        <v>14</v>
      </c>
      <c r="M24" s="11" t="s">
        <v>14</v>
      </c>
      <c r="N24" s="11" t="s">
        <v>14</v>
      </c>
      <c r="Q24" cm="1">
        <f t="array" ref="Q24">_xlfn.IFS(N24="PASS",1,M24="PASS",0.75,L24="PASS",0.5,K24="PASS",0.25,K24="FAIL",0)</f>
        <v>1</v>
      </c>
    </row>
    <row r="25" spans="1:29" ht="23.25" customHeight="1" x14ac:dyDescent="0.25">
      <c r="A25" s="7" t="s">
        <v>103</v>
      </c>
      <c r="B25" s="7" t="s">
        <v>104</v>
      </c>
      <c r="C25" s="7" t="s">
        <v>10</v>
      </c>
      <c r="D25" s="8" t="s">
        <v>111</v>
      </c>
      <c r="E25" s="7">
        <v>508</v>
      </c>
      <c r="F25" s="9" t="s">
        <v>105</v>
      </c>
      <c r="G25" s="20" t="s">
        <v>29</v>
      </c>
      <c r="H25" s="9" t="s">
        <v>106</v>
      </c>
      <c r="I25" s="7" t="s">
        <v>107</v>
      </c>
      <c r="J25" s="7" t="s">
        <v>91</v>
      </c>
      <c r="K25" s="11" t="s">
        <v>14</v>
      </c>
      <c r="L25" s="11" t="s">
        <v>14</v>
      </c>
      <c r="M25" s="11" t="s">
        <v>14</v>
      </c>
      <c r="N25" s="11" t="s">
        <v>14</v>
      </c>
      <c r="Q25" cm="1">
        <f t="array" ref="Q25">_xlfn.IFS(N25="PASS",1,M25="PASS",0.75,L25="PASS",0.5,K25="PASS",0.25,K25="FAIL",0)</f>
        <v>1</v>
      </c>
    </row>
    <row r="26" spans="1:29" ht="23.25" customHeight="1" x14ac:dyDescent="0.25">
      <c r="A26" s="7" t="s">
        <v>103</v>
      </c>
      <c r="B26" s="7" t="s">
        <v>104</v>
      </c>
      <c r="C26" s="7" t="s">
        <v>10</v>
      </c>
      <c r="D26" s="8" t="s">
        <v>111</v>
      </c>
      <c r="E26" s="7">
        <v>508</v>
      </c>
      <c r="F26" s="9" t="s">
        <v>108</v>
      </c>
      <c r="G26" s="20" t="s">
        <v>29</v>
      </c>
      <c r="H26" s="9" t="s">
        <v>109</v>
      </c>
      <c r="I26" s="7" t="s">
        <v>110</v>
      </c>
      <c r="J26" s="7" t="s">
        <v>91</v>
      </c>
      <c r="K26" s="11" t="s">
        <v>14</v>
      </c>
      <c r="L26" s="11" t="s">
        <v>14</v>
      </c>
      <c r="M26" s="11" t="s">
        <v>14</v>
      </c>
      <c r="N26" s="11" t="s">
        <v>14</v>
      </c>
      <c r="Q26" cm="1">
        <f t="array" ref="Q26">_xlfn.IFS(N26="PASS",1,M26="PASS",0.75,L26="PASS",0.5,K26="PASS",0.25,K26="FAIL",0)</f>
        <v>1</v>
      </c>
    </row>
    <row r="27" spans="1:29" ht="12.5" x14ac:dyDescent="0.25">
      <c r="K27" s="21">
        <f t="shared" ref="K27:N27" si="0">(COUNTIF(K3:K26,"PASS") / (COUNTIF(K3:K26,"PASS") + COUNTIF(K3:K26,"FAIL"))) * 100</f>
        <v>95.833333333333343</v>
      </c>
      <c r="L27" s="21">
        <f t="shared" si="0"/>
        <v>83.333333333333343</v>
      </c>
      <c r="M27" s="21">
        <f t="shared" si="0"/>
        <v>75</v>
      </c>
      <c r="N27" s="21">
        <f t="shared" si="0"/>
        <v>54.166666666666664</v>
      </c>
    </row>
  </sheetData>
  <mergeCells count="3">
    <mergeCell ref="B1:E1"/>
    <mergeCell ref="F1:G1"/>
    <mergeCell ref="H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Questions-PlantUML</vt:lpstr>
      <vt:lpstr>Questions-PlantUML-2x</vt:lpstr>
      <vt:lpstr>Questions-PlantUML-10x</vt:lpstr>
      <vt:lpstr>Questions-PlantUML-DiffQ</vt:lpstr>
      <vt:lpstr>Questions-JSON</vt:lpstr>
      <vt:lpstr>Questions-JSON-2x</vt:lpstr>
      <vt:lpstr>Questions-JSON-10x</vt:lpstr>
      <vt:lpstr>Large Models-JSON</vt:lpstr>
      <vt:lpstr>Large Models-PlantUML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Verbruggen, Charlotte Roos R.</cp:lastModifiedBy>
  <dcterms:modified xsi:type="dcterms:W3CDTF">2026-03-11T14:12:40Z</dcterms:modified>
</cp:coreProperties>
</file>