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verbrug\Documents\Papers\26_01_EMMSAD\CameraReady\supp\Runs with GPT evaluator\"/>
    </mc:Choice>
  </mc:AlternateContent>
  <xr:revisionPtr revIDLastSave="0" documentId="13_ncr:1_{8CEBBCBB-1399-4F4D-BEA6-75C198FD7E76}" xr6:coauthVersionLast="47" xr6:coauthVersionMax="47" xr10:uidLastSave="{00000000-0000-0000-0000-000000000000}"/>
  <bookViews>
    <workbookView xWindow="-120" yWindow="-120" windowWidth="29040" windowHeight="15720" xr2:uid="{B30DB138-1DF7-462B-A4D6-E2F923E19087}"/>
  </bookViews>
  <sheets>
    <sheet name="Total Results" sheetId="1" r:id="rId1"/>
    <sheet name="per provi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H48" i="2"/>
  <c r="G48" i="2"/>
  <c r="F48" i="2"/>
  <c r="E48" i="2"/>
  <c r="D48" i="2"/>
  <c r="C48" i="2"/>
  <c r="B48" i="2"/>
  <c r="I47" i="2"/>
  <c r="H47" i="2"/>
  <c r="G47" i="2"/>
  <c r="F47" i="2"/>
  <c r="E47" i="2"/>
  <c r="D47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I38" i="2"/>
  <c r="H38" i="2"/>
  <c r="G38" i="2"/>
  <c r="F38" i="2"/>
  <c r="E38" i="2"/>
  <c r="D38" i="2"/>
  <c r="C38" i="2"/>
  <c r="B38" i="2"/>
  <c r="T7" i="1"/>
  <c r="O40" i="1"/>
  <c r="O39" i="1"/>
  <c r="N45" i="1" l="1"/>
  <c r="T48" i="1"/>
  <c r="S48" i="1"/>
  <c r="R48" i="1"/>
  <c r="Q48" i="1"/>
  <c r="P48" i="1"/>
  <c r="O48" i="1"/>
  <c r="N48" i="1"/>
  <c r="M48" i="1"/>
  <c r="T47" i="1"/>
  <c r="S47" i="1"/>
  <c r="R47" i="1"/>
  <c r="Q47" i="1"/>
  <c r="P47" i="1"/>
  <c r="O47" i="1"/>
  <c r="N47" i="1"/>
  <c r="M47" i="1"/>
  <c r="T46" i="1"/>
  <c r="S46" i="1"/>
  <c r="R46" i="1"/>
  <c r="Q46" i="1"/>
  <c r="P46" i="1"/>
  <c r="O46" i="1"/>
  <c r="N46" i="1"/>
  <c r="M46" i="1"/>
  <c r="T45" i="1"/>
  <c r="S45" i="1"/>
  <c r="R45" i="1"/>
  <c r="Q45" i="1"/>
  <c r="P45" i="1"/>
  <c r="O45" i="1"/>
  <c r="M45" i="1"/>
  <c r="T40" i="1"/>
  <c r="S40" i="1"/>
  <c r="R40" i="1"/>
  <c r="Q40" i="1"/>
  <c r="P40" i="1"/>
  <c r="N40" i="1"/>
  <c r="M40" i="1"/>
  <c r="T39" i="1"/>
  <c r="S39" i="1"/>
  <c r="R39" i="1"/>
  <c r="Q39" i="1"/>
  <c r="P39" i="1"/>
  <c r="N39" i="1"/>
  <c r="M39" i="1"/>
  <c r="T38" i="1"/>
  <c r="S38" i="1"/>
  <c r="R38" i="1"/>
  <c r="Q38" i="1"/>
  <c r="P38" i="1"/>
  <c r="O38" i="1"/>
  <c r="N38" i="1"/>
  <c r="M38" i="1"/>
  <c r="T37" i="1"/>
  <c r="S37" i="1"/>
  <c r="R37" i="1"/>
  <c r="Q37" i="1"/>
  <c r="P37" i="1"/>
  <c r="O37" i="1"/>
  <c r="N37" i="1"/>
  <c r="M37" i="1"/>
  <c r="T32" i="1"/>
  <c r="S32" i="1"/>
  <c r="R32" i="1"/>
  <c r="Q32" i="1"/>
  <c r="P32" i="1"/>
  <c r="O32" i="1"/>
  <c r="N32" i="1"/>
  <c r="M32" i="1"/>
  <c r="T31" i="1"/>
  <c r="S31" i="1"/>
  <c r="R31" i="1"/>
  <c r="Q31" i="1"/>
  <c r="P31" i="1"/>
  <c r="O31" i="1"/>
  <c r="N31" i="1"/>
  <c r="M31" i="1"/>
  <c r="T30" i="1"/>
  <c r="S30" i="1"/>
  <c r="R30" i="1"/>
  <c r="Q30" i="1"/>
  <c r="P30" i="1"/>
  <c r="O30" i="1"/>
  <c r="N30" i="1"/>
  <c r="M30" i="1"/>
  <c r="T29" i="1"/>
  <c r="S29" i="1"/>
  <c r="R29" i="1"/>
  <c r="Q29" i="1"/>
  <c r="P29" i="1"/>
  <c r="O29" i="1"/>
  <c r="N29" i="1"/>
  <c r="M29" i="1"/>
  <c r="T24" i="1"/>
  <c r="S24" i="1"/>
  <c r="R24" i="1"/>
  <c r="Q24" i="1"/>
  <c r="P24" i="1"/>
  <c r="O24" i="1"/>
  <c r="N24" i="1"/>
  <c r="M24" i="1"/>
  <c r="T23" i="1"/>
  <c r="S23" i="1"/>
  <c r="R23" i="1"/>
  <c r="Q23" i="1"/>
  <c r="P23" i="1"/>
  <c r="O23" i="1"/>
  <c r="N23" i="1"/>
  <c r="M23" i="1"/>
  <c r="T22" i="1"/>
  <c r="S22" i="1"/>
  <c r="R22" i="1"/>
  <c r="Q22" i="1"/>
  <c r="P22" i="1"/>
  <c r="O22" i="1"/>
  <c r="N22" i="1"/>
  <c r="M22" i="1"/>
  <c r="T21" i="1"/>
  <c r="S21" i="1"/>
  <c r="R21" i="1"/>
  <c r="Q21" i="1"/>
  <c r="P21" i="1"/>
  <c r="O21" i="1"/>
  <c r="N21" i="1"/>
  <c r="M21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N13" i="1"/>
  <c r="O13" i="1"/>
  <c r="P13" i="1"/>
  <c r="Q13" i="1"/>
  <c r="R13" i="1"/>
  <c r="S13" i="1"/>
  <c r="T13" i="1"/>
  <c r="M13" i="1"/>
  <c r="AB4" i="1" l="1"/>
  <c r="N4" i="1"/>
  <c r="W4" i="1"/>
  <c r="AD5" i="1"/>
  <c r="M5" i="1"/>
  <c r="AA4" i="1"/>
  <c r="X4" i="1"/>
  <c r="Z5" i="1"/>
  <c r="Y5" i="1"/>
  <c r="W5" i="1"/>
  <c r="Z6" i="1"/>
  <c r="Y6" i="1"/>
  <c r="R7" i="1"/>
  <c r="X6" i="1"/>
  <c r="AD4" i="1"/>
  <c r="AB6" i="1"/>
  <c r="AD7" i="1"/>
  <c r="X5" i="1"/>
  <c r="M7" i="1"/>
  <c r="AA7" i="1"/>
  <c r="X7" i="1"/>
  <c r="S5" i="1"/>
  <c r="W7" i="1"/>
  <c r="AB5" i="1"/>
  <c r="AA6" i="1"/>
  <c r="M4" i="1"/>
  <c r="W12" i="1" s="1"/>
  <c r="Y7" i="1"/>
  <c r="R5" i="1"/>
  <c r="Z4" i="1"/>
  <c r="AD6" i="1"/>
  <c r="AA5" i="1"/>
  <c r="W6" i="1"/>
  <c r="Z7" i="1"/>
  <c r="AC4" i="1"/>
  <c r="P6" i="1"/>
  <c r="AB7" i="1"/>
  <c r="Y4" i="1"/>
  <c r="AC6" i="1"/>
  <c r="R4" i="1"/>
  <c r="Q4" i="1"/>
  <c r="AC5" i="1"/>
  <c r="O7" i="1"/>
  <c r="S7" i="1"/>
  <c r="Q6" i="1"/>
  <c r="O6" i="1"/>
  <c r="R6" i="1"/>
  <c r="T4" i="1"/>
  <c r="N6" i="1"/>
  <c r="N7" i="1"/>
  <c r="T5" i="1"/>
  <c r="O5" i="1"/>
  <c r="Q7" i="1"/>
  <c r="P5" i="1"/>
  <c r="S4" i="1"/>
  <c r="P7" i="1"/>
  <c r="M6" i="1"/>
  <c r="T6" i="1"/>
  <c r="O4" i="1"/>
  <c r="P4" i="1"/>
  <c r="AC7" i="1"/>
  <c r="N5" i="1"/>
  <c r="S6" i="1"/>
  <c r="Q5" i="1"/>
  <c r="X12" i="1" l="1"/>
  <c r="AD13" i="1"/>
  <c r="AC15" i="1"/>
  <c r="Z13" i="1"/>
  <c r="W13" i="1"/>
  <c r="AA12" i="1"/>
  <c r="Z15" i="1"/>
  <c r="AB12" i="1"/>
  <c r="Y13" i="1"/>
  <c r="AD14" i="1"/>
  <c r="Y14" i="1"/>
  <c r="AA14" i="1"/>
  <c r="AA15" i="1"/>
  <c r="AB15" i="1"/>
  <c r="X13" i="1"/>
  <c r="Z14" i="1"/>
  <c r="AD12" i="1"/>
  <c r="AD15" i="1"/>
  <c r="Z12" i="1"/>
  <c r="X14" i="1"/>
  <c r="Y12" i="1"/>
  <c r="W15" i="1"/>
  <c r="W14" i="1"/>
  <c r="AB14" i="1"/>
  <c r="AC12" i="1"/>
  <c r="Y15" i="1"/>
  <c r="AC14" i="1"/>
  <c r="X15" i="1"/>
  <c r="AC13" i="1"/>
  <c r="AB13" i="1"/>
  <c r="AA13" i="1"/>
</calcChain>
</file>

<file path=xl/sharedStrings.xml><?xml version="1.0" encoding="utf-8"?>
<sst xmlns="http://schemas.openxmlformats.org/spreadsheetml/2006/main" count="208" uniqueCount="34">
  <si>
    <t>Combined Total:</t>
  </si>
  <si>
    <t>JSON</t>
  </si>
  <si>
    <t xml:space="preserve">PlantUML </t>
  </si>
  <si>
    <t>PlantUML 2x</t>
  </si>
  <si>
    <t>PlantUML 10x</t>
  </si>
  <si>
    <t>JSON2x</t>
  </si>
  <si>
    <t>JSON10x</t>
  </si>
  <si>
    <t>LM JSON</t>
  </si>
  <si>
    <t>LM PlantUML</t>
  </si>
  <si>
    <t>Run 1</t>
  </si>
  <si>
    <t>Run 2</t>
  </si>
  <si>
    <t>Run 3</t>
  </si>
  <si>
    <t>Run 4</t>
  </si>
  <si>
    <t>Run 5</t>
  </si>
  <si>
    <t>Combined Total (percentage):</t>
  </si>
  <si>
    <t>Combined Total (standard deviation):</t>
  </si>
  <si>
    <t>RUN 1</t>
  </si>
  <si>
    <t>PlantUML</t>
  </si>
  <si>
    <t>PlantUML2</t>
  </si>
  <si>
    <t>PlantUML10</t>
  </si>
  <si>
    <t>JSON2</t>
  </si>
  <si>
    <t>JSON10</t>
  </si>
  <si>
    <t>PLANTUML B</t>
  </si>
  <si>
    <t>JSON B</t>
  </si>
  <si>
    <t>gemini-2.5-flash-lite</t>
  </si>
  <si>
    <t>gemini-2.5-pro</t>
  </si>
  <si>
    <t>GPT 4o-mini</t>
  </si>
  <si>
    <t>GPT 5 - mini</t>
  </si>
  <si>
    <t>RUN 2</t>
  </si>
  <si>
    <t>RUN 3</t>
  </si>
  <si>
    <t>RUN 4</t>
  </si>
  <si>
    <t>RUN 5</t>
  </si>
  <si>
    <t>MEAN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</si>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</sst>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00"/>
    <numFmt numFmtId="167" formatCode="0.0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</font>
    <font>
      <b/>
      <sz val="10"/>
      <color rgb="FFFF0000"/>
      <name val="Arial"/>
      <family val="2"/>
      <scheme val="minor"/>
    </font>
    <font>
      <sz val="11"/>
      <color rgb="FFFF0000"/>
      <name val="Arial"/>
      <family val="2"/>
    </font>
    <font>
      <b/>
      <sz val="10"/>
      <color theme="4"/>
      <name val="Arial"/>
      <family val="2"/>
      <scheme val="minor"/>
    </font>
    <font>
      <sz val="11"/>
      <color theme="4"/>
      <name val="Arial"/>
      <family val="2"/>
    </font>
    <font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2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2" fontId="3" fillId="0" borderId="0" xfId="0" applyNumberFormat="1" applyFont="1" applyAlignment="1">
      <alignment horizontal="left" wrapText="1"/>
    </xf>
    <xf numFmtId="0" fontId="2" fillId="0" borderId="0" xfId="0" applyFont="1" applyAlignment="1">
      <alignment horizontal="right"/>
    </xf>
    <xf numFmtId="9" fontId="1" fillId="0" borderId="0" xfId="0" applyNumberFormat="1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right"/>
    </xf>
    <xf numFmtId="164" fontId="2" fillId="0" borderId="0" xfId="0" applyNumberFormat="1" applyFont="1"/>
    <xf numFmtId="165" fontId="3" fillId="0" borderId="0" xfId="0" applyNumberFormat="1" applyFont="1" applyAlignment="1">
      <alignment horizontal="left" wrapText="1"/>
    </xf>
    <xf numFmtId="0" fontId="5" fillId="0" borderId="0" xfId="0" applyFont="1"/>
    <xf numFmtId="165" fontId="6" fillId="0" borderId="0" xfId="0" applyNumberFormat="1" applyFont="1" applyAlignment="1">
      <alignment horizontal="left" wrapText="1"/>
    </xf>
    <xf numFmtId="0" fontId="7" fillId="0" borderId="0" xfId="0" applyFont="1"/>
    <xf numFmtId="165" fontId="8" fillId="0" borderId="0" xfId="0" applyNumberFormat="1" applyFont="1" applyAlignment="1">
      <alignment horizontal="left" wrapText="1"/>
    </xf>
    <xf numFmtId="0" fontId="9" fillId="0" borderId="0" xfId="0" applyFont="1"/>
    <xf numFmtId="0" fontId="10" fillId="0" borderId="0" xfId="0" applyFont="1"/>
    <xf numFmtId="0" fontId="11" fillId="2" borderId="0" xfId="1"/>
    <xf numFmtId="166" fontId="0" fillId="0" borderId="0" xfId="0" applyNumberFormat="1"/>
    <xf numFmtId="0" fontId="12" fillId="0" borderId="0" xfId="0" applyFont="1"/>
    <xf numFmtId="2" fontId="12" fillId="0" borderId="0" xfId="0" applyNumberFormat="1" applyFont="1"/>
    <xf numFmtId="167" fontId="12" fillId="0" borderId="0" xfId="0" applyNumberFormat="1" applyFont="1"/>
    <xf numFmtId="0" fontId="13" fillId="0" borderId="0" xfId="0" applyFont="1"/>
    <xf numFmtId="0" fontId="1" fillId="0" borderId="0" xfId="0" applyFont="1" applyAlignment="1"/>
    <xf numFmtId="0" fontId="0" fillId="0" borderId="0" xfId="0" applyAlignment="1"/>
    <xf numFmtId="9" fontId="11" fillId="2" borderId="0" xfId="1" applyNumberFormat="1" applyAlignment="1"/>
    <xf numFmtId="165" fontId="11" fillId="2" borderId="0" xfId="1" applyNumberFormat="1" applyAlignment="1">
      <alignment horizontal="left"/>
    </xf>
    <xf numFmtId="0" fontId="9" fillId="0" borderId="0" xfId="0" applyFont="1" applyAlignment="1"/>
    <xf numFmtId="9" fontId="1" fillId="0" borderId="0" xfId="0" applyNumberFormat="1" applyFont="1" applyAlignment="1"/>
    <xf numFmtId="0" fontId="3" fillId="0" borderId="0" xfId="0" applyFont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E100"/>
  <sheetViews>
    <sheetView tabSelected="1" topLeftCell="A4" zoomScale="85" zoomScaleNormal="85" workbookViewId="0">
      <selection activeCell="K13" sqref="K13"/>
    </sheetView>
  </sheetViews>
  <sheetFormatPr defaultColWidth="12.5703125" defaultRowHeight="15.75" customHeight="1" x14ac:dyDescent="0.2"/>
  <cols>
    <col min="1" max="10" width="12.5703125" customWidth="1"/>
    <col min="11" max="18" width="9.42578125" customWidth="1"/>
  </cols>
  <sheetData>
    <row r="2" spans="1:31" ht="12.75" x14ac:dyDescent="0.2">
      <c r="A2" s="1"/>
      <c r="B2" s="2"/>
      <c r="L2" s="1"/>
      <c r="M2" s="2" t="s">
        <v>14</v>
      </c>
      <c r="V2" s="1"/>
      <c r="W2" s="16" t="s">
        <v>15</v>
      </c>
    </row>
    <row r="3" spans="1:31" ht="12.75" x14ac:dyDescent="0.2">
      <c r="A3" s="1"/>
      <c r="B3" s="2"/>
      <c r="C3" s="2"/>
      <c r="D3" s="2"/>
      <c r="E3" s="2"/>
      <c r="F3" s="2"/>
      <c r="G3" s="2"/>
      <c r="H3" s="2"/>
      <c r="I3" s="2"/>
      <c r="L3" s="1"/>
      <c r="M3" s="2" t="s">
        <v>1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V3" s="1"/>
      <c r="W3" s="2" t="s">
        <v>1</v>
      </c>
      <c r="X3" s="2" t="s">
        <v>2</v>
      </c>
      <c r="Y3" s="2" t="s">
        <v>3</v>
      </c>
      <c r="Z3" s="2" t="s">
        <v>4</v>
      </c>
      <c r="AA3" s="2" t="s">
        <v>5</v>
      </c>
      <c r="AB3" s="2" t="s">
        <v>6</v>
      </c>
      <c r="AC3" s="2" t="s">
        <v>7</v>
      </c>
      <c r="AD3" s="2" t="s">
        <v>8</v>
      </c>
    </row>
    <row r="4" spans="1:31" ht="14.25" x14ac:dyDescent="0.2">
      <c r="A4" s="3"/>
      <c r="B4" s="4"/>
      <c r="C4" s="4"/>
      <c r="D4" s="4"/>
      <c r="E4" s="4"/>
      <c r="F4" s="4"/>
      <c r="G4" s="4"/>
      <c r="H4" s="4"/>
      <c r="I4" s="4"/>
      <c r="L4" s="3">
        <v>0.25</v>
      </c>
      <c r="M4" s="10">
        <f t="shared" ref="M4:T4" si="0">(M13+M21+M29+M37+M45)/5</f>
        <v>0.95551111108000009</v>
      </c>
      <c r="N4" s="10">
        <f>(N13+N21+N29+N37+N45)/5</f>
        <v>0.99439999999999995</v>
      </c>
      <c r="O4" s="10">
        <f t="shared" si="0"/>
        <v>0.96657777776000009</v>
      </c>
      <c r="P4" s="10">
        <f t="shared" si="0"/>
        <v>0.92204444444</v>
      </c>
      <c r="Q4" s="10">
        <f t="shared" si="0"/>
        <v>0.86648888887999997</v>
      </c>
      <c r="R4" s="10">
        <f t="shared" si="0"/>
        <v>0.85743703706000007</v>
      </c>
      <c r="S4" s="10">
        <f t="shared" si="0"/>
        <v>0.94993333332000007</v>
      </c>
      <c r="T4" s="10">
        <f t="shared" si="0"/>
        <v>0.98333333332000006</v>
      </c>
      <c r="V4" s="3">
        <v>0.25</v>
      </c>
      <c r="W4" s="10">
        <f t="shared" ref="W4:AD7" si="1">_xlfn.STDEV.S(M13,M21,M29,M37,M45)</f>
        <v>1.5153861116063436E-2</v>
      </c>
      <c r="X4" s="10">
        <f t="shared" si="1"/>
        <v>1.2521980673998834E-2</v>
      </c>
      <c r="Y4" s="10">
        <f t="shared" si="1"/>
        <v>1.2621361463060751E-2</v>
      </c>
      <c r="Z4" s="10">
        <f t="shared" si="1"/>
        <v>2.3560481640269599E-2</v>
      </c>
      <c r="AA4" s="10">
        <f t="shared" si="1"/>
        <v>1.2025076683967942E-2</v>
      </c>
      <c r="AB4" s="10">
        <f t="shared" si="1"/>
        <v>3.6799296243974516E-2</v>
      </c>
      <c r="AC4" s="10">
        <f t="shared" si="1"/>
        <v>1.8597192115507977E-2</v>
      </c>
      <c r="AD4" s="10">
        <f t="shared" si="1"/>
        <v>2.2821773247639319E-2</v>
      </c>
    </row>
    <row r="5" spans="1:31" ht="14.25" x14ac:dyDescent="0.2">
      <c r="A5" s="3"/>
      <c r="B5" s="4"/>
      <c r="C5" s="4"/>
      <c r="D5" s="4"/>
      <c r="E5" s="4"/>
      <c r="F5" s="4"/>
      <c r="G5" s="4"/>
      <c r="H5" s="4"/>
      <c r="I5" s="4"/>
      <c r="L5" s="3">
        <v>0.5</v>
      </c>
      <c r="M5" s="10">
        <f t="shared" ref="M5:T5" si="2">(M14+M22+M30+M38+M46)/5</f>
        <v>0.93884444443999993</v>
      </c>
      <c r="N5" s="10">
        <f t="shared" si="2"/>
        <v>0.98324444444000003</v>
      </c>
      <c r="O5" s="10">
        <f t="shared" si="2"/>
        <v>0.96117777776000002</v>
      </c>
      <c r="P5" s="10">
        <f t="shared" si="2"/>
        <v>0.88886666668000003</v>
      </c>
      <c r="Q5" s="10">
        <f t="shared" si="2"/>
        <v>0.84982222221999992</v>
      </c>
      <c r="R5" s="10">
        <f t="shared" si="2"/>
        <v>0.8000296296399998</v>
      </c>
      <c r="S5" s="10">
        <f t="shared" si="2"/>
        <v>0.84986666665999999</v>
      </c>
      <c r="T5" s="10">
        <f t="shared" si="2"/>
        <v>0.875</v>
      </c>
      <c r="V5" s="3">
        <v>0.5</v>
      </c>
      <c r="W5" s="10">
        <f t="shared" si="1"/>
        <v>2.3160950512478577E-2</v>
      </c>
      <c r="X5" s="10">
        <f t="shared" si="1"/>
        <v>2.5019301193703089E-2</v>
      </c>
      <c r="Y5" s="10">
        <f t="shared" si="1"/>
        <v>2.4696128541559621E-2</v>
      </c>
      <c r="Z5" s="10">
        <f t="shared" si="1"/>
        <v>1.9681162277971582E-2</v>
      </c>
      <c r="AA5" s="10">
        <f t="shared" si="1"/>
        <v>2.7778153093249186E-2</v>
      </c>
      <c r="AB5" s="10">
        <f t="shared" si="1"/>
        <v>3.3184920621040344E-2</v>
      </c>
      <c r="AC5" s="10">
        <f t="shared" si="1"/>
        <v>4.7273788833689011E-2</v>
      </c>
      <c r="AD5" s="10">
        <f t="shared" si="1"/>
        <v>0</v>
      </c>
    </row>
    <row r="6" spans="1:31" ht="14.25" x14ac:dyDescent="0.2">
      <c r="A6" s="3"/>
      <c r="B6" s="4"/>
      <c r="C6" s="4"/>
      <c r="D6" s="4"/>
      <c r="E6" s="4"/>
      <c r="F6" s="4"/>
      <c r="G6" s="4"/>
      <c r="H6" s="4"/>
      <c r="I6" s="4"/>
      <c r="L6" s="3">
        <v>0.75</v>
      </c>
      <c r="M6" s="10">
        <f t="shared" ref="M6:T6" si="3">(M15+M23+M31+M39+M47)/5</f>
        <v>0.89435555556000002</v>
      </c>
      <c r="N6" s="10">
        <f t="shared" si="3"/>
        <v>0.95562222220000004</v>
      </c>
      <c r="O6" s="10">
        <f t="shared" si="3"/>
        <v>0.92204444444</v>
      </c>
      <c r="P6" s="10">
        <f t="shared" si="3"/>
        <v>0.87219999999999998</v>
      </c>
      <c r="Q6" s="10">
        <f t="shared" si="3"/>
        <v>0.79638518518000001</v>
      </c>
      <c r="R6" s="10">
        <f t="shared" si="3"/>
        <v>0.76280740739999986</v>
      </c>
      <c r="S6" s="10">
        <f t="shared" si="3"/>
        <v>0.44993333332000002</v>
      </c>
      <c r="T6" s="10">
        <f t="shared" si="3"/>
        <v>0.60833333332000006</v>
      </c>
      <c r="V6" s="3">
        <v>0.75</v>
      </c>
      <c r="W6" s="10">
        <f t="shared" si="1"/>
        <v>4.1066522382439533E-2</v>
      </c>
      <c r="X6" s="10">
        <f t="shared" si="1"/>
        <v>2.4714867813789503E-2</v>
      </c>
      <c r="Y6" s="10">
        <f t="shared" si="1"/>
        <v>3.642391018601334E-2</v>
      </c>
      <c r="Z6" s="10">
        <f t="shared" si="1"/>
        <v>3.1681322169106442E-2</v>
      </c>
      <c r="AA6" s="10">
        <f t="shared" si="1"/>
        <v>4.295783494621086E-2</v>
      </c>
      <c r="AB6" s="10">
        <f t="shared" si="1"/>
        <v>2.0146520934355785E-2</v>
      </c>
      <c r="AC6" s="10">
        <f t="shared" si="1"/>
        <v>1.8597192115507973E-2</v>
      </c>
      <c r="AD6" s="10">
        <f t="shared" si="1"/>
        <v>3.7267799654810703E-2</v>
      </c>
    </row>
    <row r="7" spans="1:31" ht="14.25" x14ac:dyDescent="0.2">
      <c r="A7" s="3"/>
      <c r="B7" s="4"/>
      <c r="C7" s="4"/>
      <c r="D7" s="4"/>
      <c r="E7" s="4"/>
      <c r="F7" s="4"/>
      <c r="G7" s="4"/>
      <c r="H7" s="4"/>
      <c r="I7" s="4"/>
      <c r="L7" s="3">
        <v>1</v>
      </c>
      <c r="M7" s="10">
        <f t="shared" ref="M7:S7" si="4">(M16+M24+M32+M40+M48)/5</f>
        <v>0.86673333332000002</v>
      </c>
      <c r="N7" s="10">
        <f t="shared" si="4"/>
        <v>0.92784444442000014</v>
      </c>
      <c r="O7" s="10">
        <f t="shared" si="4"/>
        <v>0.92204444442000022</v>
      </c>
      <c r="P7" s="10">
        <f t="shared" si="4"/>
        <v>0.86108888890000002</v>
      </c>
      <c r="Q7" s="10">
        <f t="shared" si="4"/>
        <v>0.77231111111999995</v>
      </c>
      <c r="R7" s="10">
        <f t="shared" si="4"/>
        <v>0.74059259255999987</v>
      </c>
      <c r="S7" s="10">
        <f t="shared" si="4"/>
        <v>0.27486666668000004</v>
      </c>
      <c r="T7" s="10">
        <f>(T16+T24+T32+T40+T48)/5</f>
        <v>0.45826666664000004</v>
      </c>
      <c r="V7" s="3">
        <v>1</v>
      </c>
      <c r="W7" s="10">
        <f t="shared" si="1"/>
        <v>3.0566018421309845E-2</v>
      </c>
      <c r="X7" s="10">
        <f t="shared" si="1"/>
        <v>2.4808351812737696E-2</v>
      </c>
      <c r="Y7" s="10">
        <f t="shared" si="1"/>
        <v>3.0674073152331203E-2</v>
      </c>
      <c r="Z7" s="10">
        <f t="shared" si="1"/>
        <v>3.4020727147106987E-2</v>
      </c>
      <c r="AA7" s="10">
        <f t="shared" si="1"/>
        <v>2.3400221590657008E-2</v>
      </c>
      <c r="AB7" s="10">
        <f t="shared" si="1"/>
        <v>3.3126931178013977E-4</v>
      </c>
      <c r="AC7" s="10">
        <f t="shared" si="1"/>
        <v>2.2701688642624524E-2</v>
      </c>
      <c r="AD7" s="10">
        <f t="shared" si="1"/>
        <v>1.4907118359289815E-4</v>
      </c>
    </row>
    <row r="10" spans="1:31" ht="15.75" customHeight="1" x14ac:dyDescent="0.2">
      <c r="V10" s="17"/>
      <c r="W10" s="17" t="s">
        <v>0</v>
      </c>
      <c r="X10" s="17"/>
      <c r="Y10" s="17"/>
      <c r="Z10" s="17"/>
      <c r="AA10" s="17"/>
      <c r="AB10" s="17"/>
      <c r="AC10" s="17"/>
      <c r="AD10" s="17"/>
      <c r="AE10" s="15"/>
    </row>
    <row r="11" spans="1:31" ht="14.25" x14ac:dyDescent="0.2">
      <c r="A11" s="1"/>
      <c r="B11" s="1" t="s">
        <v>9</v>
      </c>
      <c r="L11" s="1"/>
      <c r="M11" s="1" t="s">
        <v>9</v>
      </c>
      <c r="V11" s="17"/>
      <c r="W11" s="17" t="s">
        <v>1</v>
      </c>
      <c r="X11" s="17" t="s">
        <v>2</v>
      </c>
      <c r="Y11" s="17" t="s">
        <v>3</v>
      </c>
      <c r="Z11" s="17" t="s">
        <v>4</v>
      </c>
      <c r="AA11" s="17" t="s">
        <v>5</v>
      </c>
      <c r="AB11" s="17" t="s">
        <v>6</v>
      </c>
      <c r="AC11" s="17" t="s">
        <v>7</v>
      </c>
      <c r="AD11" s="17" t="s">
        <v>8</v>
      </c>
      <c r="AE11" s="15"/>
    </row>
    <row r="12" spans="1:31" s="24" customFormat="1" ht="14.25" x14ac:dyDescent="0.2">
      <c r="A12" s="23"/>
      <c r="B12" s="23" t="s">
        <v>1</v>
      </c>
      <c r="C12" s="23" t="s">
        <v>2</v>
      </c>
      <c r="D12" s="23" t="s">
        <v>3</v>
      </c>
      <c r="E12" s="23" t="s">
        <v>4</v>
      </c>
      <c r="F12" s="23" t="s">
        <v>5</v>
      </c>
      <c r="G12" s="23" t="s">
        <v>6</v>
      </c>
      <c r="H12" s="23" t="s">
        <v>7</v>
      </c>
      <c r="I12" s="23" t="s">
        <v>8</v>
      </c>
      <c r="L12" s="23"/>
      <c r="M12" s="23" t="s">
        <v>1</v>
      </c>
      <c r="N12" s="23" t="s">
        <v>2</v>
      </c>
      <c r="O12" s="23" t="s">
        <v>3</v>
      </c>
      <c r="P12" s="23" t="s">
        <v>4</v>
      </c>
      <c r="Q12" s="23" t="s">
        <v>5</v>
      </c>
      <c r="R12" s="23" t="s">
        <v>6</v>
      </c>
      <c r="S12" s="23" t="s">
        <v>7</v>
      </c>
      <c r="T12" s="23" t="s">
        <v>8</v>
      </c>
      <c r="V12" s="25">
        <v>0.25</v>
      </c>
      <c r="W12" s="26" t="str">
        <f t="shared" ref="W12:AD15" si="5">_xlfn.CONCAT(ROUND(M4,2)," +/- ",ROUND(W4,2))</f>
        <v>0,96 +/- 0,02</v>
      </c>
      <c r="X12" s="26" t="str">
        <f t="shared" si="5"/>
        <v>0,99 +/- 0,01</v>
      </c>
      <c r="Y12" s="26" t="str">
        <f t="shared" si="5"/>
        <v>0,97 +/- 0,01</v>
      </c>
      <c r="Z12" s="26" t="str">
        <f t="shared" si="5"/>
        <v>0,92 +/- 0,02</v>
      </c>
      <c r="AA12" s="26" t="str">
        <f t="shared" si="5"/>
        <v>0,87 +/- 0,01</v>
      </c>
      <c r="AB12" s="26" t="str">
        <f t="shared" si="5"/>
        <v>0,86 +/- 0,04</v>
      </c>
      <c r="AC12" s="26" t="str">
        <f t="shared" si="5"/>
        <v>0,95 +/- 0,02</v>
      </c>
      <c r="AD12" s="26" t="str">
        <f t="shared" si="5"/>
        <v>0,98 +/- 0,02</v>
      </c>
      <c r="AE12" s="27"/>
    </row>
    <row r="13" spans="1:31" s="24" customFormat="1" ht="14.25" x14ac:dyDescent="0.2">
      <c r="A13" s="28">
        <v>0.25</v>
      </c>
      <c r="B13" s="29">
        <v>97.2</v>
      </c>
      <c r="C13" s="29">
        <v>97.2</v>
      </c>
      <c r="D13" s="29">
        <v>94.4</v>
      </c>
      <c r="E13" s="29">
        <v>88.8</v>
      </c>
      <c r="F13" s="29">
        <v>88.8</v>
      </c>
      <c r="G13" s="29">
        <v>85.2</v>
      </c>
      <c r="H13" s="29">
        <v>95.8</v>
      </c>
      <c r="I13" s="29">
        <v>100</v>
      </c>
      <c r="L13" s="28">
        <v>0.25</v>
      </c>
      <c r="M13" s="29">
        <f t="shared" ref="M13:T16" si="6">B13/100</f>
        <v>0.97199999999999998</v>
      </c>
      <c r="N13" s="29">
        <f t="shared" si="6"/>
        <v>0.97199999999999998</v>
      </c>
      <c r="O13" s="29">
        <f t="shared" si="6"/>
        <v>0.94400000000000006</v>
      </c>
      <c r="P13" s="29">
        <f t="shared" si="6"/>
        <v>0.88800000000000001</v>
      </c>
      <c r="Q13" s="29">
        <f t="shared" si="6"/>
        <v>0.88800000000000001</v>
      </c>
      <c r="R13" s="29">
        <f t="shared" si="6"/>
        <v>0.85199999999999998</v>
      </c>
      <c r="S13" s="29">
        <f t="shared" si="6"/>
        <v>0.95799999999999996</v>
      </c>
      <c r="T13" s="29">
        <f t="shared" si="6"/>
        <v>1</v>
      </c>
      <c r="V13" s="25">
        <v>0.5</v>
      </c>
      <c r="W13" s="26" t="str">
        <f t="shared" si="5"/>
        <v>0,94 +/- 0,02</v>
      </c>
      <c r="X13" s="26" t="str">
        <f t="shared" si="5"/>
        <v>0,98 +/- 0,03</v>
      </c>
      <c r="Y13" s="26" t="str">
        <f t="shared" si="5"/>
        <v>0,96 +/- 0,02</v>
      </c>
      <c r="Z13" s="26" t="str">
        <f t="shared" si="5"/>
        <v>0,89 +/- 0,02</v>
      </c>
      <c r="AA13" s="26" t="str">
        <f t="shared" si="5"/>
        <v>0,85 +/- 0,03</v>
      </c>
      <c r="AB13" s="26" t="str">
        <f t="shared" si="5"/>
        <v>0,8 +/- 0,03</v>
      </c>
      <c r="AC13" s="26" t="str">
        <f t="shared" si="5"/>
        <v>0,85 +/- 0,05</v>
      </c>
      <c r="AD13" s="26" t="str">
        <f t="shared" si="5"/>
        <v>0,88 +/- 0</v>
      </c>
      <c r="AE13" s="27"/>
    </row>
    <row r="14" spans="1:31" s="24" customFormat="1" ht="14.25" x14ac:dyDescent="0.2">
      <c r="A14" s="28">
        <v>0.5</v>
      </c>
      <c r="B14" s="29">
        <v>97.2</v>
      </c>
      <c r="C14" s="29">
        <v>94.4</v>
      </c>
      <c r="D14" s="29">
        <v>91.7</v>
      </c>
      <c r="E14" s="29">
        <v>86.1</v>
      </c>
      <c r="F14" s="29">
        <v>88.8</v>
      </c>
      <c r="G14" s="29">
        <v>85.2</v>
      </c>
      <c r="H14" s="29">
        <v>91.6</v>
      </c>
      <c r="I14" s="29">
        <v>87.5</v>
      </c>
      <c r="L14" s="28">
        <v>0.5</v>
      </c>
      <c r="M14" s="29">
        <f t="shared" si="6"/>
        <v>0.97199999999999998</v>
      </c>
      <c r="N14" s="29">
        <f t="shared" si="6"/>
        <v>0.94400000000000006</v>
      </c>
      <c r="O14" s="29">
        <f t="shared" si="6"/>
        <v>0.91700000000000004</v>
      </c>
      <c r="P14" s="29">
        <f t="shared" si="6"/>
        <v>0.86099999999999999</v>
      </c>
      <c r="Q14" s="29">
        <f t="shared" si="6"/>
        <v>0.88800000000000001</v>
      </c>
      <c r="R14" s="29">
        <f t="shared" si="6"/>
        <v>0.85199999999999998</v>
      </c>
      <c r="S14" s="29">
        <f t="shared" si="6"/>
        <v>0.91599999999999993</v>
      </c>
      <c r="T14" s="29">
        <f t="shared" si="6"/>
        <v>0.875</v>
      </c>
      <c r="V14" s="25">
        <v>0.75</v>
      </c>
      <c r="W14" s="26" t="str">
        <f t="shared" si="5"/>
        <v>0,89 +/- 0,04</v>
      </c>
      <c r="X14" s="26" t="str">
        <f t="shared" si="5"/>
        <v>0,96 +/- 0,02</v>
      </c>
      <c r="Y14" s="26" t="str">
        <f t="shared" si="5"/>
        <v>0,92 +/- 0,04</v>
      </c>
      <c r="Z14" s="26" t="str">
        <f t="shared" si="5"/>
        <v>0,87 +/- 0,03</v>
      </c>
      <c r="AA14" s="26" t="str">
        <f t="shared" si="5"/>
        <v>0,8 +/- 0,04</v>
      </c>
      <c r="AB14" s="26" t="str">
        <f t="shared" si="5"/>
        <v>0,76 +/- 0,02</v>
      </c>
      <c r="AC14" s="26" t="str">
        <f t="shared" si="5"/>
        <v>0,45 +/- 0,02</v>
      </c>
      <c r="AD14" s="26" t="str">
        <f t="shared" si="5"/>
        <v>0,61 +/- 0,04</v>
      </c>
      <c r="AE14" s="27"/>
    </row>
    <row r="15" spans="1:31" s="24" customFormat="1" ht="14.25" x14ac:dyDescent="0.2">
      <c r="A15" s="28">
        <v>0.75</v>
      </c>
      <c r="B15" s="29">
        <v>94.4</v>
      </c>
      <c r="C15" s="29">
        <v>91.7</v>
      </c>
      <c r="D15" s="29">
        <v>88.8</v>
      </c>
      <c r="E15" s="29">
        <v>86.1</v>
      </c>
      <c r="F15" s="29">
        <v>80.599999999999994</v>
      </c>
      <c r="G15" s="29">
        <v>77.7</v>
      </c>
      <c r="H15" s="29">
        <v>45.8</v>
      </c>
      <c r="I15" s="29">
        <v>62.5</v>
      </c>
      <c r="L15" s="28">
        <v>0.75</v>
      </c>
      <c r="M15" s="29">
        <f t="shared" si="6"/>
        <v>0.94400000000000006</v>
      </c>
      <c r="N15" s="29">
        <f t="shared" si="6"/>
        <v>0.91700000000000004</v>
      </c>
      <c r="O15" s="29">
        <f t="shared" si="6"/>
        <v>0.88800000000000001</v>
      </c>
      <c r="P15" s="29">
        <f t="shared" si="6"/>
        <v>0.86099999999999999</v>
      </c>
      <c r="Q15" s="29">
        <f t="shared" si="6"/>
        <v>0.80599999999999994</v>
      </c>
      <c r="R15" s="29">
        <f t="shared" si="6"/>
        <v>0.77700000000000002</v>
      </c>
      <c r="S15" s="29">
        <f t="shared" si="6"/>
        <v>0.45799999999999996</v>
      </c>
      <c r="T15" s="29">
        <f t="shared" si="6"/>
        <v>0.625</v>
      </c>
      <c r="V15" s="25">
        <v>1</v>
      </c>
      <c r="W15" s="26" t="str">
        <f t="shared" si="5"/>
        <v>0,87 +/- 0,03</v>
      </c>
      <c r="X15" s="26" t="str">
        <f t="shared" si="5"/>
        <v>0,93 +/- 0,02</v>
      </c>
      <c r="Y15" s="26" t="str">
        <f t="shared" si="5"/>
        <v>0,92 +/- 0,03</v>
      </c>
      <c r="Z15" s="26" t="str">
        <f t="shared" si="5"/>
        <v>0,86 +/- 0,03</v>
      </c>
      <c r="AA15" s="26" t="str">
        <f t="shared" si="5"/>
        <v>0,77 +/- 0,02</v>
      </c>
      <c r="AB15" s="26" t="str">
        <f t="shared" si="5"/>
        <v>0,74 +/- 0</v>
      </c>
      <c r="AC15" s="26" t="str">
        <f t="shared" si="5"/>
        <v>0,27 +/- 0,02</v>
      </c>
      <c r="AD15" s="26" t="str">
        <f t="shared" si="5"/>
        <v>0,46 +/- 0</v>
      </c>
      <c r="AE15" s="27"/>
    </row>
    <row r="16" spans="1:31" s="24" customFormat="1" ht="14.25" x14ac:dyDescent="0.2">
      <c r="A16" s="28">
        <v>1</v>
      </c>
      <c r="B16" s="29">
        <v>91.7</v>
      </c>
      <c r="C16" s="29">
        <v>91.7</v>
      </c>
      <c r="D16" s="29">
        <v>88.8</v>
      </c>
      <c r="E16" s="29">
        <v>86.1</v>
      </c>
      <c r="F16" s="29">
        <v>80.599999999999994</v>
      </c>
      <c r="G16" s="29">
        <v>74</v>
      </c>
      <c r="H16" s="29">
        <v>29.1</v>
      </c>
      <c r="I16" s="29">
        <v>45.8</v>
      </c>
      <c r="L16" s="28">
        <v>1</v>
      </c>
      <c r="M16" s="29">
        <f t="shared" si="6"/>
        <v>0.91700000000000004</v>
      </c>
      <c r="N16" s="29">
        <f t="shared" si="6"/>
        <v>0.91700000000000004</v>
      </c>
      <c r="O16" s="29">
        <f t="shared" si="6"/>
        <v>0.88800000000000001</v>
      </c>
      <c r="P16" s="29">
        <f t="shared" si="6"/>
        <v>0.86099999999999999</v>
      </c>
      <c r="Q16" s="29">
        <f t="shared" si="6"/>
        <v>0.80599999999999994</v>
      </c>
      <c r="R16" s="29">
        <f t="shared" si="6"/>
        <v>0.74</v>
      </c>
      <c r="S16" s="29">
        <f t="shared" si="6"/>
        <v>0.29100000000000004</v>
      </c>
      <c r="T16" s="29">
        <f t="shared" si="6"/>
        <v>0.45799999999999996</v>
      </c>
      <c r="V16" s="27"/>
    </row>
    <row r="17" spans="1:22" s="24" customFormat="1" ht="12.75" x14ac:dyDescent="0.2">
      <c r="A17" s="23"/>
      <c r="L17" s="23"/>
      <c r="V17" s="27"/>
    </row>
    <row r="19" spans="1:22" ht="12.75" x14ac:dyDescent="0.2">
      <c r="A19" s="1"/>
      <c r="B19" s="1" t="s">
        <v>10</v>
      </c>
      <c r="L19" s="1"/>
      <c r="M19" s="1" t="s">
        <v>10</v>
      </c>
    </row>
    <row r="20" spans="1:22" ht="12.75" x14ac:dyDescent="0.2">
      <c r="A20" s="1"/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L20" s="1"/>
      <c r="M20" s="1" t="s">
        <v>1</v>
      </c>
      <c r="N20" s="1" t="s">
        <v>2</v>
      </c>
      <c r="O20" s="1" t="s">
        <v>3</v>
      </c>
      <c r="P20" s="1" t="s">
        <v>4</v>
      </c>
      <c r="Q20" s="1" t="s">
        <v>5</v>
      </c>
      <c r="R20" s="1" t="s">
        <v>6</v>
      </c>
      <c r="S20" s="1" t="s">
        <v>7</v>
      </c>
      <c r="T20" s="1" t="s">
        <v>8</v>
      </c>
    </row>
    <row r="21" spans="1:22" ht="14.25" x14ac:dyDescent="0.2">
      <c r="A21" s="6">
        <v>0.25</v>
      </c>
      <c r="B21" s="1">
        <v>94.444444439999998</v>
      </c>
      <c r="C21" s="1">
        <v>100</v>
      </c>
      <c r="D21" s="1">
        <v>97.222222220000006</v>
      </c>
      <c r="E21" s="1">
        <v>94.444444439999998</v>
      </c>
      <c r="F21" s="1">
        <v>86.111111109999996</v>
      </c>
      <c r="G21" s="1">
        <v>85.185185189999999</v>
      </c>
      <c r="H21" s="1">
        <v>95.833333330000002</v>
      </c>
      <c r="I21" s="1">
        <v>100</v>
      </c>
      <c r="L21" s="6">
        <v>0.25</v>
      </c>
      <c r="M21" s="7">
        <f t="shared" ref="M21:P24" si="7">B21/100</f>
        <v>0.94444444439999997</v>
      </c>
      <c r="N21" s="7">
        <f t="shared" si="7"/>
        <v>1</v>
      </c>
      <c r="O21" s="7">
        <f t="shared" si="7"/>
        <v>0.9722222222000001</v>
      </c>
      <c r="P21" s="7">
        <f t="shared" si="7"/>
        <v>0.94444444439999997</v>
      </c>
      <c r="Q21" s="7">
        <f t="shared" ref="Q21:Q24" si="8">F21/100</f>
        <v>0.86111111109999994</v>
      </c>
      <c r="R21" s="7">
        <f t="shared" ref="R21:R24" si="9">G21/100</f>
        <v>0.85185185190000001</v>
      </c>
      <c r="S21" s="7">
        <f t="shared" ref="S21:S24" si="10">H21/100</f>
        <v>0.95833333330000003</v>
      </c>
      <c r="T21" s="7">
        <f t="shared" ref="T21:T24" si="11">I21/100</f>
        <v>1</v>
      </c>
    </row>
    <row r="22" spans="1:22" ht="14.25" x14ac:dyDescent="0.2">
      <c r="A22" s="6">
        <v>0.5</v>
      </c>
      <c r="B22" s="1">
        <v>91.666666669999998</v>
      </c>
      <c r="C22" s="1">
        <v>100</v>
      </c>
      <c r="D22" s="1">
        <v>97.222222220000006</v>
      </c>
      <c r="E22" s="1">
        <v>88.888888890000004</v>
      </c>
      <c r="F22" s="1">
        <v>86.111111109999996</v>
      </c>
      <c r="G22" s="1">
        <v>77.777777779999994</v>
      </c>
      <c r="H22" s="1">
        <v>83.333333330000002</v>
      </c>
      <c r="I22" s="1">
        <v>87.5</v>
      </c>
      <c r="L22" s="6">
        <v>0.5</v>
      </c>
      <c r="M22" s="7">
        <f t="shared" si="7"/>
        <v>0.91666666669999997</v>
      </c>
      <c r="N22" s="7">
        <f t="shared" si="7"/>
        <v>1</v>
      </c>
      <c r="O22" s="7">
        <f t="shared" si="7"/>
        <v>0.9722222222000001</v>
      </c>
      <c r="P22" s="7">
        <f t="shared" si="7"/>
        <v>0.88888888890000006</v>
      </c>
      <c r="Q22" s="7">
        <f t="shared" si="8"/>
        <v>0.86111111109999994</v>
      </c>
      <c r="R22" s="7">
        <f t="shared" si="9"/>
        <v>0.7777777777999999</v>
      </c>
      <c r="S22" s="7">
        <f t="shared" si="10"/>
        <v>0.83333333330000003</v>
      </c>
      <c r="T22" s="7">
        <f t="shared" si="11"/>
        <v>0.875</v>
      </c>
    </row>
    <row r="23" spans="1:22" ht="14.25" x14ac:dyDescent="0.2">
      <c r="A23" s="6">
        <v>0.75</v>
      </c>
      <c r="B23" s="1">
        <v>83.333333330000002</v>
      </c>
      <c r="C23" s="1">
        <v>94.444444439999998</v>
      </c>
      <c r="D23" s="1">
        <v>97.222222220000006</v>
      </c>
      <c r="E23" s="1">
        <v>88.888888890000004</v>
      </c>
      <c r="F23" s="1">
        <v>83.333333330000002</v>
      </c>
      <c r="G23" s="1">
        <v>74.074074069999995</v>
      </c>
      <c r="H23" s="1">
        <v>45.833333330000002</v>
      </c>
      <c r="I23" s="1">
        <v>58.333333330000002</v>
      </c>
      <c r="L23" s="6">
        <v>0.75</v>
      </c>
      <c r="M23" s="7">
        <f t="shared" si="7"/>
        <v>0.83333333330000003</v>
      </c>
      <c r="N23" s="7">
        <f t="shared" si="7"/>
        <v>0.94444444439999997</v>
      </c>
      <c r="O23" s="7">
        <f t="shared" si="7"/>
        <v>0.9722222222000001</v>
      </c>
      <c r="P23" s="7">
        <f t="shared" si="7"/>
        <v>0.88888888890000006</v>
      </c>
      <c r="Q23" s="7">
        <f t="shared" si="8"/>
        <v>0.83333333330000003</v>
      </c>
      <c r="R23" s="7">
        <f t="shared" si="9"/>
        <v>0.74074074069999996</v>
      </c>
      <c r="S23" s="7">
        <f t="shared" si="10"/>
        <v>0.45833333330000003</v>
      </c>
      <c r="T23" s="7">
        <f t="shared" si="11"/>
        <v>0.58333333330000003</v>
      </c>
    </row>
    <row r="24" spans="1:22" ht="14.25" x14ac:dyDescent="0.2">
      <c r="A24" s="6">
        <v>1</v>
      </c>
      <c r="B24" s="1">
        <v>83.333333330000002</v>
      </c>
      <c r="C24" s="1">
        <v>88.888888890000004</v>
      </c>
      <c r="D24" s="1">
        <v>94.444444439999998</v>
      </c>
      <c r="E24" s="1">
        <v>88.888888890000004</v>
      </c>
      <c r="F24" s="1">
        <v>75</v>
      </c>
      <c r="G24" s="1">
        <v>74.074074069999995</v>
      </c>
      <c r="H24" s="1">
        <v>29.166666670000001</v>
      </c>
      <c r="I24" s="1">
        <v>45.833333330000002</v>
      </c>
      <c r="L24" s="6">
        <v>1</v>
      </c>
      <c r="M24" s="7">
        <f t="shared" si="7"/>
        <v>0.83333333330000003</v>
      </c>
      <c r="N24" s="7">
        <f t="shared" si="7"/>
        <v>0.88888888890000006</v>
      </c>
      <c r="O24" s="7">
        <f t="shared" si="7"/>
        <v>0.94444444439999997</v>
      </c>
      <c r="P24" s="7">
        <f t="shared" si="7"/>
        <v>0.88888888890000006</v>
      </c>
      <c r="Q24" s="7">
        <f t="shared" si="8"/>
        <v>0.75</v>
      </c>
      <c r="R24" s="7">
        <f t="shared" si="9"/>
        <v>0.74074074069999996</v>
      </c>
      <c r="S24" s="7">
        <f t="shared" si="10"/>
        <v>0.29166666670000002</v>
      </c>
      <c r="T24" s="7">
        <f t="shared" si="11"/>
        <v>0.45833333330000003</v>
      </c>
    </row>
    <row r="27" spans="1:22" ht="12.75" x14ac:dyDescent="0.2">
      <c r="A27" s="1"/>
      <c r="B27" s="1" t="s">
        <v>11</v>
      </c>
      <c r="L27" s="1"/>
      <c r="M27" s="1" t="s">
        <v>11</v>
      </c>
    </row>
    <row r="28" spans="1:22" ht="12.75" x14ac:dyDescent="0.2">
      <c r="A28" s="1"/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L28" s="1"/>
      <c r="M28" s="1" t="s">
        <v>1</v>
      </c>
      <c r="N28" s="1" t="s">
        <v>2</v>
      </c>
      <c r="O28" s="1" t="s">
        <v>3</v>
      </c>
      <c r="P28" s="1" t="s">
        <v>4</v>
      </c>
      <c r="Q28" s="1" t="s">
        <v>5</v>
      </c>
      <c r="R28" s="1" t="s">
        <v>6</v>
      </c>
      <c r="S28" s="1" t="s">
        <v>7</v>
      </c>
      <c r="T28" s="1" t="s">
        <v>8</v>
      </c>
    </row>
    <row r="29" spans="1:22" ht="14.25" x14ac:dyDescent="0.2">
      <c r="A29" s="6">
        <v>0.25</v>
      </c>
      <c r="B29" s="1">
        <v>94.444444439999998</v>
      </c>
      <c r="C29" s="1">
        <v>100</v>
      </c>
      <c r="D29" s="1">
        <v>97.222222220000006</v>
      </c>
      <c r="E29" s="1">
        <v>91.666666669999998</v>
      </c>
      <c r="F29" s="1">
        <v>86.111111109999996</v>
      </c>
      <c r="G29" s="1">
        <v>81.481481479999999</v>
      </c>
      <c r="H29" s="1">
        <v>95.833333330000002</v>
      </c>
      <c r="I29" s="8">
        <v>95.833333330000002</v>
      </c>
      <c r="L29" s="6">
        <v>0.25</v>
      </c>
      <c r="M29" s="7">
        <f t="shared" ref="M29:P32" si="12">B29/100</f>
        <v>0.94444444439999997</v>
      </c>
      <c r="N29" s="7">
        <f t="shared" si="12"/>
        <v>1</v>
      </c>
      <c r="O29" s="7">
        <f t="shared" si="12"/>
        <v>0.9722222222000001</v>
      </c>
      <c r="P29" s="7">
        <f t="shared" si="12"/>
        <v>0.91666666669999997</v>
      </c>
      <c r="Q29" s="7">
        <f t="shared" ref="Q29:Q32" si="13">F29/100</f>
        <v>0.86111111109999994</v>
      </c>
      <c r="R29" s="7">
        <f t="shared" ref="R29:R32" si="14">G29/100</f>
        <v>0.81481481479999995</v>
      </c>
      <c r="S29" s="7">
        <f t="shared" ref="S29:S32" si="15">H29/100</f>
        <v>0.95833333330000003</v>
      </c>
      <c r="T29" s="7">
        <f t="shared" ref="T29:T32" si="16">I29/100</f>
        <v>0.95833333330000003</v>
      </c>
    </row>
    <row r="30" spans="1:22" ht="14.25" x14ac:dyDescent="0.2">
      <c r="A30" s="6">
        <v>0.5</v>
      </c>
      <c r="B30" s="1">
        <v>94.444444439999998</v>
      </c>
      <c r="C30" s="1">
        <v>100</v>
      </c>
      <c r="D30" s="1">
        <v>97.222222220000006</v>
      </c>
      <c r="E30" s="1">
        <v>91.666666669999998</v>
      </c>
      <c r="F30" s="1">
        <v>85.185185189999999</v>
      </c>
      <c r="G30" s="1">
        <v>81.481481479999999</v>
      </c>
      <c r="H30" s="1">
        <v>79.166666669999998</v>
      </c>
      <c r="I30" s="1">
        <v>87.5</v>
      </c>
      <c r="L30" s="6">
        <v>0.5</v>
      </c>
      <c r="M30" s="7">
        <f t="shared" si="12"/>
        <v>0.94444444439999997</v>
      </c>
      <c r="N30" s="7">
        <f t="shared" si="12"/>
        <v>1</v>
      </c>
      <c r="O30" s="7">
        <f t="shared" si="12"/>
        <v>0.9722222222000001</v>
      </c>
      <c r="P30" s="7">
        <f t="shared" si="12"/>
        <v>0.91666666669999997</v>
      </c>
      <c r="Q30" s="7">
        <f t="shared" si="13"/>
        <v>0.85185185190000001</v>
      </c>
      <c r="R30" s="7">
        <f t="shared" si="14"/>
        <v>0.81481481479999995</v>
      </c>
      <c r="S30" s="7">
        <f t="shared" si="15"/>
        <v>0.79166666669999997</v>
      </c>
      <c r="T30" s="7">
        <f t="shared" si="16"/>
        <v>0.875</v>
      </c>
    </row>
    <row r="31" spans="1:22" ht="14.25" x14ac:dyDescent="0.2">
      <c r="A31" s="6">
        <v>0.75</v>
      </c>
      <c r="B31" s="1">
        <v>91.666666669999998</v>
      </c>
      <c r="C31" s="1">
        <v>97.222222220000006</v>
      </c>
      <c r="D31" s="1">
        <v>94.444444439999998</v>
      </c>
      <c r="E31" s="1">
        <v>91.666666669999998</v>
      </c>
      <c r="F31" s="1">
        <v>80.555555560000002</v>
      </c>
      <c r="G31" s="1">
        <v>77.777777779999994</v>
      </c>
      <c r="H31" s="1">
        <v>41.666666669999998</v>
      </c>
      <c r="I31" s="1">
        <v>58.333333330000002</v>
      </c>
      <c r="L31" s="6">
        <v>0.75</v>
      </c>
      <c r="M31" s="7">
        <f t="shared" si="12"/>
        <v>0.91666666669999997</v>
      </c>
      <c r="N31" s="7">
        <f t="shared" si="12"/>
        <v>0.9722222222000001</v>
      </c>
      <c r="O31" s="7">
        <f t="shared" si="12"/>
        <v>0.94444444439999997</v>
      </c>
      <c r="P31" s="7">
        <f t="shared" si="12"/>
        <v>0.91666666669999997</v>
      </c>
      <c r="Q31" s="7">
        <f t="shared" si="13"/>
        <v>0.80555555560000003</v>
      </c>
      <c r="R31" s="7">
        <f t="shared" si="14"/>
        <v>0.7777777777999999</v>
      </c>
      <c r="S31" s="7">
        <f t="shared" si="15"/>
        <v>0.41666666669999997</v>
      </c>
      <c r="T31" s="7">
        <f t="shared" si="16"/>
        <v>0.58333333330000003</v>
      </c>
    </row>
    <row r="32" spans="1:22" ht="14.25" x14ac:dyDescent="0.2">
      <c r="A32" s="6">
        <v>1</v>
      </c>
      <c r="B32" s="1">
        <v>86.111111109999996</v>
      </c>
      <c r="C32" s="1">
        <v>94.444444439999998</v>
      </c>
      <c r="D32" s="1">
        <v>94.444444439999998</v>
      </c>
      <c r="E32" s="1">
        <v>88.888888890000004</v>
      </c>
      <c r="F32" s="1">
        <v>77.777777779999994</v>
      </c>
      <c r="G32" s="1">
        <v>74.074074069999995</v>
      </c>
      <c r="H32" s="1">
        <v>29.166666670000001</v>
      </c>
      <c r="I32" s="1">
        <v>45.833333330000002</v>
      </c>
      <c r="L32" s="6">
        <v>1</v>
      </c>
      <c r="M32" s="7">
        <f t="shared" si="12"/>
        <v>0.86111111109999994</v>
      </c>
      <c r="N32" s="7">
        <f t="shared" si="12"/>
        <v>0.94444444439999997</v>
      </c>
      <c r="O32" s="7">
        <f t="shared" si="12"/>
        <v>0.94444444439999997</v>
      </c>
      <c r="P32" s="7">
        <f t="shared" si="12"/>
        <v>0.88888888890000006</v>
      </c>
      <c r="Q32" s="7">
        <f t="shared" si="13"/>
        <v>0.7777777777999999</v>
      </c>
      <c r="R32" s="7">
        <f t="shared" si="14"/>
        <v>0.74074074069999996</v>
      </c>
      <c r="S32" s="7">
        <f t="shared" si="15"/>
        <v>0.29166666670000002</v>
      </c>
      <c r="T32" s="7">
        <f t="shared" si="16"/>
        <v>0.45833333330000003</v>
      </c>
    </row>
    <row r="35" spans="1:20" ht="12.75" x14ac:dyDescent="0.2">
      <c r="A35" s="1"/>
      <c r="B35" s="1" t="s">
        <v>12</v>
      </c>
      <c r="L35" s="1"/>
      <c r="M35" s="1" t="s">
        <v>12</v>
      </c>
    </row>
    <row r="36" spans="1:20" ht="12.75" x14ac:dyDescent="0.2">
      <c r="A36" s="1"/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L36" s="1"/>
      <c r="M36" s="1" t="s">
        <v>1</v>
      </c>
      <c r="N36" s="1" t="s">
        <v>2</v>
      </c>
      <c r="O36" s="1" t="s">
        <v>3</v>
      </c>
      <c r="P36" s="1" t="s">
        <v>4</v>
      </c>
      <c r="Q36" s="1" t="s">
        <v>5</v>
      </c>
      <c r="R36" s="1" t="s">
        <v>6</v>
      </c>
      <c r="S36" s="1" t="s">
        <v>7</v>
      </c>
      <c r="T36" s="1" t="s">
        <v>8</v>
      </c>
    </row>
    <row r="37" spans="1:20" ht="14.25" x14ac:dyDescent="0.2">
      <c r="A37" s="6">
        <v>0.25</v>
      </c>
      <c r="B37" s="1">
        <v>94.444444439999998</v>
      </c>
      <c r="C37" s="1">
        <v>100</v>
      </c>
      <c r="D37" s="1">
        <v>97.222222220000006</v>
      </c>
      <c r="E37" s="1">
        <v>91.666666669999998</v>
      </c>
      <c r="F37" s="1">
        <v>86.111111109999996</v>
      </c>
      <c r="G37" s="1">
        <v>91.666666669999998</v>
      </c>
      <c r="H37" s="1">
        <v>95.833333330000002</v>
      </c>
      <c r="I37" s="1">
        <v>100</v>
      </c>
      <c r="L37" s="6">
        <v>0.25</v>
      </c>
      <c r="M37" s="7">
        <f t="shared" ref="M37:P40" si="17">B37/100</f>
        <v>0.94444444439999997</v>
      </c>
      <c r="N37" s="7">
        <f t="shared" si="17"/>
        <v>1</v>
      </c>
      <c r="O37" s="7">
        <f t="shared" si="17"/>
        <v>0.9722222222000001</v>
      </c>
      <c r="P37" s="7">
        <f t="shared" si="17"/>
        <v>0.91666666669999997</v>
      </c>
      <c r="Q37" s="7">
        <f t="shared" ref="Q37:Q40" si="18">F37/100</f>
        <v>0.86111111109999994</v>
      </c>
      <c r="R37" s="7">
        <f t="shared" ref="R37:R40" si="19">G37/100</f>
        <v>0.91666666669999997</v>
      </c>
      <c r="S37" s="7">
        <f t="shared" ref="S37:S40" si="20">H37/100</f>
        <v>0.95833333330000003</v>
      </c>
      <c r="T37" s="7">
        <f t="shared" ref="T37:T40" si="21">I37/100</f>
        <v>1</v>
      </c>
    </row>
    <row r="38" spans="1:20" ht="14.25" x14ac:dyDescent="0.2">
      <c r="A38" s="6">
        <v>0.5</v>
      </c>
      <c r="B38" s="8">
        <v>91.666666669999998</v>
      </c>
      <c r="C38" s="1">
        <v>97.222222220000006</v>
      </c>
      <c r="D38" s="1">
        <v>97.222222220000006</v>
      </c>
      <c r="E38" s="1">
        <v>88.888888890000004</v>
      </c>
      <c r="F38" s="1">
        <v>81.481481479999999</v>
      </c>
      <c r="G38" s="1">
        <v>77.777777779999994</v>
      </c>
      <c r="H38" s="1">
        <v>87.5</v>
      </c>
      <c r="I38" s="1">
        <v>87.5</v>
      </c>
      <c r="L38" s="6">
        <v>0.5</v>
      </c>
      <c r="M38" s="7">
        <f t="shared" si="17"/>
        <v>0.91666666669999997</v>
      </c>
      <c r="N38" s="7">
        <f t="shared" si="17"/>
        <v>0.9722222222000001</v>
      </c>
      <c r="O38" s="7">
        <f t="shared" si="17"/>
        <v>0.9722222222000001</v>
      </c>
      <c r="P38" s="7">
        <f t="shared" si="17"/>
        <v>0.88888888890000006</v>
      </c>
      <c r="Q38" s="7">
        <f t="shared" si="18"/>
        <v>0.81481481479999995</v>
      </c>
      <c r="R38" s="7">
        <f t="shared" si="19"/>
        <v>0.7777777777999999</v>
      </c>
      <c r="S38" s="7">
        <f t="shared" si="20"/>
        <v>0.875</v>
      </c>
      <c r="T38" s="7">
        <f t="shared" si="21"/>
        <v>0.875</v>
      </c>
    </row>
    <row r="39" spans="1:20" ht="14.25" x14ac:dyDescent="0.2">
      <c r="A39" s="6">
        <v>0.75</v>
      </c>
      <c r="B39" s="8">
        <v>88.888888890000004</v>
      </c>
      <c r="C39" s="1">
        <v>97.222222220000006</v>
      </c>
      <c r="D39" s="1">
        <v>91.666666669999998</v>
      </c>
      <c r="E39" s="1">
        <v>86.111111109999996</v>
      </c>
      <c r="F39" s="1">
        <v>81.481481479999999</v>
      </c>
      <c r="G39" s="1">
        <v>77.777777779999994</v>
      </c>
      <c r="H39" s="1">
        <v>45.833333330000002</v>
      </c>
      <c r="I39" s="1">
        <v>66.666666669999998</v>
      </c>
      <c r="L39" s="6">
        <v>0.75</v>
      </c>
      <c r="M39" s="7">
        <f t="shared" si="17"/>
        <v>0.88888888890000006</v>
      </c>
      <c r="N39" s="7">
        <f t="shared" si="17"/>
        <v>0.9722222222000001</v>
      </c>
      <c r="O39" s="7">
        <f t="shared" si="17"/>
        <v>0.91666666669999997</v>
      </c>
      <c r="P39" s="7">
        <f t="shared" si="17"/>
        <v>0.86111111109999994</v>
      </c>
      <c r="Q39" s="7">
        <f t="shared" si="18"/>
        <v>0.81481481479999995</v>
      </c>
      <c r="R39" s="7">
        <f t="shared" si="19"/>
        <v>0.7777777777999999</v>
      </c>
      <c r="S39" s="7">
        <f t="shared" si="20"/>
        <v>0.45833333330000003</v>
      </c>
      <c r="T39" s="7">
        <f t="shared" si="21"/>
        <v>0.66666666669999997</v>
      </c>
    </row>
    <row r="40" spans="1:20" ht="14.25" x14ac:dyDescent="0.2">
      <c r="A40" s="6">
        <v>1</v>
      </c>
      <c r="B40" s="8">
        <v>86.111111109999996</v>
      </c>
      <c r="C40" s="8">
        <v>94.444444439999998</v>
      </c>
      <c r="D40" s="1">
        <v>94.444444439999998</v>
      </c>
      <c r="E40" s="1">
        <v>86.111111109999996</v>
      </c>
      <c r="F40" s="1">
        <v>77.777777779999994</v>
      </c>
      <c r="G40" s="1">
        <v>74.074074069999995</v>
      </c>
      <c r="H40" s="1">
        <v>25</v>
      </c>
      <c r="I40" s="1">
        <v>45.833333330000002</v>
      </c>
      <c r="L40" s="6">
        <v>1</v>
      </c>
      <c r="M40" s="7">
        <f t="shared" si="17"/>
        <v>0.86111111109999994</v>
      </c>
      <c r="N40" s="7">
        <f t="shared" si="17"/>
        <v>0.94444444439999997</v>
      </c>
      <c r="O40" s="7">
        <f t="shared" si="17"/>
        <v>0.94444444439999997</v>
      </c>
      <c r="P40" s="7">
        <f t="shared" si="17"/>
        <v>0.86111111109999994</v>
      </c>
      <c r="Q40" s="7">
        <f t="shared" si="18"/>
        <v>0.7777777777999999</v>
      </c>
      <c r="R40" s="7">
        <f t="shared" si="19"/>
        <v>0.74074074069999996</v>
      </c>
      <c r="S40" s="7">
        <f t="shared" si="20"/>
        <v>0.25</v>
      </c>
      <c r="T40" s="7">
        <f t="shared" si="21"/>
        <v>0.45833333330000003</v>
      </c>
    </row>
    <row r="43" spans="1:20" ht="12.75" x14ac:dyDescent="0.2">
      <c r="A43" s="1"/>
      <c r="B43" s="1" t="s">
        <v>13</v>
      </c>
      <c r="L43" s="1"/>
      <c r="M43" s="1" t="s">
        <v>13</v>
      </c>
    </row>
    <row r="44" spans="1:20" ht="12.75" x14ac:dyDescent="0.2">
      <c r="A44" s="1"/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L44" s="1"/>
      <c r="M44" s="1" t="s">
        <v>1</v>
      </c>
      <c r="N44" s="1" t="s">
        <v>2</v>
      </c>
      <c r="O44" s="1" t="s">
        <v>3</v>
      </c>
      <c r="P44" s="1" t="s">
        <v>4</v>
      </c>
      <c r="Q44" s="1" t="s">
        <v>5</v>
      </c>
      <c r="R44" s="1" t="s">
        <v>6</v>
      </c>
      <c r="S44" s="1" t="s">
        <v>7</v>
      </c>
      <c r="T44" s="1" t="s">
        <v>8</v>
      </c>
    </row>
    <row r="45" spans="1:20" ht="14.25" x14ac:dyDescent="0.2">
      <c r="A45" s="6">
        <v>0.25</v>
      </c>
      <c r="B45" s="1">
        <v>97.222222220000006</v>
      </c>
      <c r="C45" s="1">
        <v>100</v>
      </c>
      <c r="D45" s="1">
        <v>97.222222220000006</v>
      </c>
      <c r="E45" s="1">
        <v>94.444444439999998</v>
      </c>
      <c r="F45" s="1">
        <v>86.111111109999996</v>
      </c>
      <c r="G45" s="1">
        <v>85.185185189999999</v>
      </c>
      <c r="H45" s="1">
        <v>91.666666669999998</v>
      </c>
      <c r="I45" s="1">
        <v>95.833333330000002</v>
      </c>
      <c r="L45" s="6">
        <v>0.25</v>
      </c>
      <c r="M45" s="7">
        <f>B45/100</f>
        <v>0.9722222222000001</v>
      </c>
      <c r="N45" s="7">
        <f>C45/100</f>
        <v>1</v>
      </c>
      <c r="O45" s="7">
        <f>D45/100</f>
        <v>0.9722222222000001</v>
      </c>
      <c r="P45" s="7">
        <f>E45/100</f>
        <v>0.94444444439999997</v>
      </c>
      <c r="Q45" s="7">
        <f t="shared" ref="Q45:Q48" si="22">F45/100</f>
        <v>0.86111111109999994</v>
      </c>
      <c r="R45" s="7">
        <f t="shared" ref="R45:R48" si="23">G45/100</f>
        <v>0.85185185190000001</v>
      </c>
      <c r="S45" s="7">
        <f t="shared" ref="S45:S48" si="24">H45/100</f>
        <v>0.91666666669999997</v>
      </c>
      <c r="T45" s="7">
        <f t="shared" ref="T45:T48" si="25">I45/100</f>
        <v>0.95833333330000003</v>
      </c>
    </row>
    <row r="46" spans="1:20" ht="14.25" x14ac:dyDescent="0.2">
      <c r="A46" s="6">
        <v>0.5</v>
      </c>
      <c r="B46" s="1">
        <v>94.444444439999998</v>
      </c>
      <c r="C46" s="1">
        <v>100</v>
      </c>
      <c r="D46" s="1">
        <v>97.222222220000006</v>
      </c>
      <c r="E46" s="1">
        <v>88.888888890000004</v>
      </c>
      <c r="F46" s="1">
        <v>83.333333330000002</v>
      </c>
      <c r="G46" s="1">
        <v>77.777777779999994</v>
      </c>
      <c r="H46" s="1">
        <v>83.333333330000002</v>
      </c>
      <c r="I46" s="1">
        <v>87.5</v>
      </c>
      <c r="L46" s="6">
        <v>0.5</v>
      </c>
      <c r="M46" s="7">
        <f t="shared" ref="M46:M48" si="26">B46/100</f>
        <v>0.94444444439999997</v>
      </c>
      <c r="N46" s="7">
        <f t="shared" ref="N46:N48" si="27">C46/100</f>
        <v>1</v>
      </c>
      <c r="O46" s="7">
        <f t="shared" ref="O46:P48" si="28">D46/100</f>
        <v>0.9722222222000001</v>
      </c>
      <c r="P46" s="7">
        <f t="shared" si="28"/>
        <v>0.88888888890000006</v>
      </c>
      <c r="Q46" s="7">
        <f t="shared" si="22"/>
        <v>0.83333333330000003</v>
      </c>
      <c r="R46" s="7">
        <f t="shared" si="23"/>
        <v>0.7777777777999999</v>
      </c>
      <c r="S46" s="7">
        <f t="shared" si="24"/>
        <v>0.83333333330000003</v>
      </c>
      <c r="T46" s="7">
        <f t="shared" si="25"/>
        <v>0.875</v>
      </c>
    </row>
    <row r="47" spans="1:20" ht="14.25" x14ac:dyDescent="0.2">
      <c r="A47" s="6">
        <v>0.75</v>
      </c>
      <c r="B47" s="1">
        <v>88.888888890000004</v>
      </c>
      <c r="C47" s="1">
        <v>97.222222220000006</v>
      </c>
      <c r="D47" s="1">
        <v>88.888888890000004</v>
      </c>
      <c r="E47" s="1">
        <v>83.333333330000002</v>
      </c>
      <c r="F47" s="1">
        <v>72.222222220000006</v>
      </c>
      <c r="G47" s="1">
        <v>74.074074069999995</v>
      </c>
      <c r="H47" s="1">
        <v>45.833333330000002</v>
      </c>
      <c r="I47" s="1">
        <v>58.333333330000002</v>
      </c>
      <c r="L47" s="6">
        <v>0.75</v>
      </c>
      <c r="M47" s="7">
        <f t="shared" si="26"/>
        <v>0.88888888890000006</v>
      </c>
      <c r="N47" s="7">
        <f t="shared" si="27"/>
        <v>0.9722222222000001</v>
      </c>
      <c r="O47" s="7">
        <f t="shared" si="28"/>
        <v>0.88888888890000006</v>
      </c>
      <c r="P47" s="7">
        <f t="shared" si="28"/>
        <v>0.83333333330000003</v>
      </c>
      <c r="Q47" s="7">
        <f t="shared" si="22"/>
        <v>0.7222222222000001</v>
      </c>
      <c r="R47" s="7">
        <f t="shared" si="23"/>
        <v>0.74074074069999996</v>
      </c>
      <c r="S47" s="7">
        <f t="shared" si="24"/>
        <v>0.45833333330000003</v>
      </c>
      <c r="T47" s="7">
        <f t="shared" si="25"/>
        <v>0.58333333330000003</v>
      </c>
    </row>
    <row r="48" spans="1:20" ht="14.25" x14ac:dyDescent="0.2">
      <c r="A48" s="6">
        <v>1</v>
      </c>
      <c r="B48" s="1">
        <v>86.111111109999996</v>
      </c>
      <c r="C48" s="1">
        <v>94.444444439999998</v>
      </c>
      <c r="D48" s="1">
        <v>88.888888890000004</v>
      </c>
      <c r="E48" s="1">
        <v>80.555555560000002</v>
      </c>
      <c r="F48" s="1">
        <v>75</v>
      </c>
      <c r="G48" s="1">
        <v>74.074074069999995</v>
      </c>
      <c r="H48" s="1">
        <v>25</v>
      </c>
      <c r="I48" s="1">
        <v>45.833333330000002</v>
      </c>
      <c r="L48" s="6">
        <v>1</v>
      </c>
      <c r="M48" s="7">
        <f t="shared" si="26"/>
        <v>0.86111111109999994</v>
      </c>
      <c r="N48" s="7">
        <f t="shared" si="27"/>
        <v>0.94444444439999997</v>
      </c>
      <c r="O48" s="7">
        <f t="shared" si="28"/>
        <v>0.88888888890000006</v>
      </c>
      <c r="P48" s="7">
        <f t="shared" si="28"/>
        <v>0.80555555560000003</v>
      </c>
      <c r="Q48" s="7">
        <f t="shared" si="22"/>
        <v>0.75</v>
      </c>
      <c r="R48" s="7">
        <f t="shared" si="23"/>
        <v>0.74074074069999996</v>
      </c>
      <c r="S48" s="7">
        <f t="shared" si="24"/>
        <v>0.25</v>
      </c>
      <c r="T48" s="7">
        <f t="shared" si="25"/>
        <v>0.45833333330000003</v>
      </c>
    </row>
    <row r="53" spans="12:30" ht="15.75" customHeight="1" x14ac:dyDescent="0.2">
      <c r="L53" s="1"/>
      <c r="M53" s="2"/>
      <c r="V53" s="1"/>
      <c r="W53" s="2"/>
    </row>
    <row r="54" spans="12:30" ht="15.75" customHeight="1" x14ac:dyDescent="0.2">
      <c r="L54" s="1"/>
      <c r="M54" s="2"/>
      <c r="N54" s="2"/>
      <c r="O54" s="2"/>
      <c r="P54" s="2"/>
      <c r="Q54" s="2"/>
      <c r="R54" s="2"/>
      <c r="S54" s="2"/>
      <c r="T54" s="2"/>
      <c r="V54" s="1"/>
      <c r="W54" s="2"/>
      <c r="X54" s="2"/>
      <c r="Y54" s="2"/>
      <c r="Z54" s="2"/>
      <c r="AA54" s="2"/>
      <c r="AB54" s="2"/>
      <c r="AC54" s="2"/>
      <c r="AD54" s="2"/>
    </row>
    <row r="55" spans="12:30" ht="15.75" customHeight="1" x14ac:dyDescent="0.2">
      <c r="L55" s="3"/>
      <c r="M55" s="10"/>
      <c r="N55" s="10"/>
      <c r="O55" s="10"/>
      <c r="P55" s="10"/>
      <c r="Q55" s="10"/>
      <c r="R55" s="10"/>
      <c r="S55" s="10"/>
      <c r="T55" s="10"/>
      <c r="V55" s="3"/>
      <c r="W55" s="10"/>
      <c r="X55" s="10"/>
      <c r="Y55" s="10"/>
      <c r="Z55" s="10"/>
      <c r="AA55" s="10"/>
      <c r="AB55" s="10"/>
      <c r="AC55" s="10"/>
      <c r="AD55" s="10"/>
    </row>
    <row r="56" spans="12:30" ht="15.75" customHeight="1" x14ac:dyDescent="0.2">
      <c r="L56" s="3"/>
      <c r="M56" s="10"/>
      <c r="N56" s="10"/>
      <c r="O56" s="10"/>
      <c r="P56" s="10"/>
      <c r="Q56" s="10"/>
      <c r="R56" s="10"/>
      <c r="S56" s="10"/>
      <c r="T56" s="10"/>
      <c r="V56" s="3"/>
      <c r="W56" s="10"/>
      <c r="X56" s="10"/>
      <c r="Y56" s="10"/>
      <c r="Z56" s="10"/>
      <c r="AA56" s="10"/>
      <c r="AB56" s="10"/>
      <c r="AC56" s="10"/>
      <c r="AD56" s="10"/>
    </row>
    <row r="57" spans="12:30" ht="15.75" customHeight="1" x14ac:dyDescent="0.2">
      <c r="L57" s="3"/>
      <c r="M57" s="10"/>
      <c r="N57" s="10"/>
      <c r="O57" s="10"/>
      <c r="P57" s="10"/>
      <c r="Q57" s="10"/>
      <c r="R57" s="10"/>
      <c r="S57" s="10"/>
      <c r="T57" s="10"/>
      <c r="V57" s="3"/>
      <c r="W57" s="10"/>
      <c r="X57" s="10"/>
      <c r="Y57" s="10"/>
      <c r="Z57" s="10"/>
      <c r="AA57" s="10"/>
      <c r="AB57" s="10"/>
      <c r="AC57" s="10"/>
      <c r="AD57" s="10"/>
    </row>
    <row r="58" spans="12:30" ht="15.75" customHeight="1" x14ac:dyDescent="0.2">
      <c r="L58" s="3"/>
      <c r="M58" s="10"/>
      <c r="N58" s="10"/>
      <c r="O58" s="10"/>
      <c r="P58" s="10"/>
      <c r="Q58" s="10"/>
      <c r="R58" s="10"/>
      <c r="S58" s="10"/>
      <c r="T58" s="10"/>
      <c r="V58" s="3"/>
      <c r="W58" s="10"/>
      <c r="X58" s="10"/>
      <c r="Y58" s="10"/>
      <c r="Z58" s="10"/>
      <c r="AA58" s="10"/>
      <c r="AB58" s="10"/>
      <c r="AC58" s="10"/>
      <c r="AD58" s="10"/>
    </row>
    <row r="59" spans="12:30" ht="15.75" customHeight="1" x14ac:dyDescent="0.2">
      <c r="L59" s="5"/>
      <c r="M59" s="9"/>
      <c r="N59" s="9"/>
      <c r="O59" s="9"/>
      <c r="P59" s="9"/>
      <c r="Q59" s="9"/>
      <c r="R59" s="9"/>
      <c r="S59" s="9"/>
      <c r="T59" s="9"/>
      <c r="V59" s="5"/>
      <c r="W59" s="9"/>
      <c r="X59" s="9"/>
      <c r="Y59" s="9"/>
      <c r="Z59" s="9"/>
      <c r="AA59" s="9"/>
      <c r="AB59" s="9"/>
      <c r="AC59" s="9"/>
      <c r="AD59" s="9"/>
    </row>
    <row r="62" spans="12:30" ht="15.75" customHeight="1" x14ac:dyDescent="0.2">
      <c r="V62" s="1"/>
      <c r="W62" s="2"/>
    </row>
    <row r="63" spans="12:30" ht="15.75" customHeight="1" x14ac:dyDescent="0.2">
      <c r="L63" s="1"/>
      <c r="M63" s="1"/>
      <c r="V63" s="1"/>
      <c r="W63" s="13"/>
      <c r="X63" s="11"/>
      <c r="Y63" s="11"/>
      <c r="Z63" s="11"/>
      <c r="AA63" s="13"/>
      <c r="AB63" s="13"/>
      <c r="AC63" s="2"/>
      <c r="AD63" s="2"/>
    </row>
    <row r="64" spans="12:30" ht="15.75" customHeight="1" x14ac:dyDescent="0.2">
      <c r="L64" s="1"/>
      <c r="M64" s="1"/>
      <c r="N64" s="1"/>
      <c r="O64" s="1"/>
      <c r="P64" s="1"/>
      <c r="Q64" s="1"/>
      <c r="R64" s="1"/>
      <c r="S64" s="1"/>
      <c r="T64" s="1"/>
      <c r="V64" s="3"/>
      <c r="W64" s="14"/>
      <c r="X64" s="12"/>
      <c r="Y64" s="12"/>
      <c r="Z64" s="12"/>
      <c r="AA64" s="14"/>
      <c r="AB64" s="14"/>
      <c r="AC64" s="10"/>
      <c r="AD64" s="10"/>
    </row>
    <row r="65" spans="12:30" ht="15.75" customHeight="1" x14ac:dyDescent="0.2">
      <c r="L65" s="6"/>
      <c r="M65" s="7"/>
      <c r="N65" s="7"/>
      <c r="O65" s="7"/>
      <c r="P65" s="7"/>
      <c r="Q65" s="7"/>
      <c r="R65" s="7"/>
      <c r="S65" s="7"/>
      <c r="T65" s="7"/>
      <c r="V65" s="3"/>
      <c r="W65" s="14"/>
      <c r="X65" s="12"/>
      <c r="Y65" s="12"/>
      <c r="Z65" s="12"/>
      <c r="AA65" s="14"/>
      <c r="AB65" s="14"/>
      <c r="AC65" s="10"/>
      <c r="AD65" s="10"/>
    </row>
    <row r="66" spans="12:30" ht="15.75" customHeight="1" x14ac:dyDescent="0.2">
      <c r="L66" s="6"/>
      <c r="M66" s="7"/>
      <c r="N66" s="7"/>
      <c r="O66" s="7"/>
      <c r="P66" s="7"/>
      <c r="Q66" s="7"/>
      <c r="R66" s="7"/>
      <c r="S66" s="7"/>
      <c r="T66" s="7"/>
      <c r="V66" s="3"/>
      <c r="W66" s="14"/>
      <c r="X66" s="12"/>
      <c r="Y66" s="12"/>
      <c r="Z66" s="12"/>
      <c r="AA66" s="14"/>
      <c r="AB66" s="14"/>
      <c r="AC66" s="10"/>
      <c r="AD66" s="10"/>
    </row>
    <row r="67" spans="12:30" ht="15.75" customHeight="1" x14ac:dyDescent="0.2">
      <c r="L67" s="6"/>
      <c r="M67" s="7"/>
      <c r="N67" s="7"/>
      <c r="O67" s="7"/>
      <c r="P67" s="7"/>
      <c r="Q67" s="7"/>
      <c r="R67" s="7"/>
      <c r="S67" s="7"/>
      <c r="T67" s="7"/>
      <c r="V67" s="3"/>
      <c r="W67" s="14"/>
      <c r="X67" s="12"/>
      <c r="Y67" s="12"/>
      <c r="Z67" s="12"/>
      <c r="AA67" s="14"/>
      <c r="AB67" s="14"/>
      <c r="AC67" s="10"/>
      <c r="AD67" s="10"/>
    </row>
    <row r="68" spans="12:30" ht="15.75" customHeight="1" x14ac:dyDescent="0.2">
      <c r="L68" s="6"/>
      <c r="M68" s="7"/>
      <c r="N68" s="7"/>
      <c r="O68" s="7"/>
      <c r="P68" s="7"/>
      <c r="Q68" s="7"/>
      <c r="R68" s="7"/>
      <c r="S68" s="7"/>
      <c r="T68" s="7"/>
      <c r="V68" s="5"/>
      <c r="W68" s="9"/>
      <c r="X68" s="9"/>
      <c r="Y68" s="9"/>
      <c r="Z68" s="9"/>
      <c r="AA68" s="9"/>
      <c r="AB68" s="9"/>
      <c r="AC68" s="9"/>
      <c r="AD68" s="9"/>
    </row>
    <row r="71" spans="12:30" ht="15.75" customHeight="1" x14ac:dyDescent="0.2">
      <c r="L71" s="1"/>
      <c r="M71" s="1"/>
    </row>
    <row r="72" spans="12:30" ht="15.75" customHeight="1" x14ac:dyDescent="0.2">
      <c r="L72" s="1"/>
      <c r="M72" s="1"/>
      <c r="N72" s="1"/>
      <c r="O72" s="1"/>
      <c r="P72" s="1"/>
      <c r="Q72" s="1"/>
      <c r="R72" s="1"/>
      <c r="S72" s="1"/>
      <c r="T72" s="1"/>
    </row>
    <row r="73" spans="12:30" ht="15.75" customHeight="1" x14ac:dyDescent="0.2">
      <c r="L73" s="6"/>
      <c r="M73" s="7"/>
      <c r="N73" s="7"/>
      <c r="O73" s="7"/>
      <c r="P73" s="7"/>
      <c r="Q73" s="7"/>
      <c r="R73" s="7"/>
      <c r="S73" s="7"/>
      <c r="T73" s="7"/>
    </row>
    <row r="74" spans="12:30" ht="15.75" customHeight="1" x14ac:dyDescent="0.2">
      <c r="L74" s="6"/>
      <c r="M74" s="7"/>
      <c r="N74" s="7"/>
      <c r="O74" s="7"/>
      <c r="P74" s="7"/>
      <c r="Q74" s="7"/>
      <c r="R74" s="7"/>
      <c r="S74" s="7"/>
      <c r="T74" s="7"/>
    </row>
    <row r="75" spans="12:30" ht="15.75" customHeight="1" x14ac:dyDescent="0.2">
      <c r="L75" s="6"/>
      <c r="M75" s="7"/>
      <c r="N75" s="7"/>
      <c r="O75" s="7"/>
      <c r="P75" s="7"/>
      <c r="Q75" s="7"/>
      <c r="R75" s="7"/>
      <c r="S75" s="7"/>
      <c r="T75" s="7"/>
    </row>
    <row r="76" spans="12:30" ht="15.75" customHeight="1" x14ac:dyDescent="0.2">
      <c r="L76" s="6"/>
      <c r="M76" s="7"/>
      <c r="N76" s="7"/>
      <c r="O76" s="7"/>
      <c r="P76" s="7"/>
      <c r="Q76" s="7"/>
      <c r="R76" s="7"/>
      <c r="S76" s="7"/>
      <c r="T76" s="7"/>
    </row>
    <row r="79" spans="12:30" ht="15.75" customHeight="1" x14ac:dyDescent="0.2">
      <c r="L79" s="1"/>
      <c r="M79" s="1"/>
    </row>
    <row r="80" spans="12:30" ht="15.75" customHeight="1" x14ac:dyDescent="0.2">
      <c r="L80" s="1"/>
      <c r="M80" s="1"/>
      <c r="N80" s="1"/>
      <c r="O80" s="1"/>
      <c r="P80" s="1"/>
      <c r="Q80" s="1"/>
      <c r="R80" s="1"/>
      <c r="S80" s="1"/>
      <c r="T80" s="1"/>
    </row>
    <row r="81" spans="12:20" ht="15.75" customHeight="1" x14ac:dyDescent="0.2">
      <c r="L81" s="6"/>
      <c r="M81" s="7"/>
      <c r="N81" s="7"/>
      <c r="O81" s="7"/>
      <c r="P81" s="7"/>
      <c r="Q81" s="7"/>
      <c r="R81" s="7"/>
      <c r="S81" s="7"/>
      <c r="T81" s="7"/>
    </row>
    <row r="82" spans="12:20" ht="15.75" customHeight="1" x14ac:dyDescent="0.2">
      <c r="L82" s="6"/>
      <c r="M82" s="7"/>
      <c r="N82" s="7"/>
      <c r="O82" s="7"/>
      <c r="P82" s="7"/>
      <c r="Q82" s="7"/>
      <c r="R82" s="7"/>
      <c r="S82" s="7"/>
      <c r="T82" s="7"/>
    </row>
    <row r="83" spans="12:20" ht="15.75" customHeight="1" x14ac:dyDescent="0.2">
      <c r="L83" s="6"/>
      <c r="M83" s="7"/>
      <c r="N83" s="7"/>
      <c r="O83" s="7"/>
      <c r="P83" s="7"/>
      <c r="Q83" s="7"/>
      <c r="R83" s="7"/>
      <c r="S83" s="7"/>
      <c r="T83" s="7"/>
    </row>
    <row r="84" spans="12:20" ht="15.75" customHeight="1" x14ac:dyDescent="0.2">
      <c r="L84" s="6"/>
      <c r="M84" s="7"/>
      <c r="N84" s="7"/>
      <c r="O84" s="7"/>
      <c r="P84" s="7"/>
      <c r="Q84" s="7"/>
      <c r="R84" s="7"/>
      <c r="S84" s="7"/>
      <c r="T84" s="7"/>
    </row>
    <row r="87" spans="12:20" ht="15.75" customHeight="1" x14ac:dyDescent="0.2">
      <c r="L87" s="1"/>
      <c r="M87" s="1"/>
    </row>
    <row r="88" spans="12:20" ht="15.75" customHeight="1" x14ac:dyDescent="0.2">
      <c r="L88" s="1"/>
      <c r="M88" s="1"/>
      <c r="N88" s="1"/>
      <c r="O88" s="1"/>
      <c r="P88" s="1"/>
      <c r="Q88" s="1"/>
      <c r="R88" s="1"/>
      <c r="S88" s="1"/>
      <c r="T88" s="1"/>
    </row>
    <row r="89" spans="12:20" ht="15.75" customHeight="1" x14ac:dyDescent="0.2">
      <c r="L89" s="6"/>
      <c r="M89" s="7"/>
      <c r="N89" s="7"/>
      <c r="O89" s="7"/>
      <c r="P89" s="7"/>
      <c r="Q89" s="7"/>
      <c r="R89" s="7"/>
      <c r="S89" s="7"/>
      <c r="T89" s="7"/>
    </row>
    <row r="90" spans="12:20" ht="15.75" customHeight="1" x14ac:dyDescent="0.2">
      <c r="L90" s="6"/>
      <c r="M90" s="7"/>
      <c r="N90" s="7"/>
      <c r="O90" s="7"/>
      <c r="P90" s="7"/>
      <c r="Q90" s="7"/>
      <c r="R90" s="7"/>
      <c r="S90" s="7"/>
      <c r="T90" s="7"/>
    </row>
    <row r="91" spans="12:20" ht="15.75" customHeight="1" x14ac:dyDescent="0.2">
      <c r="L91" s="6"/>
      <c r="M91" s="7"/>
      <c r="N91" s="7"/>
      <c r="O91" s="7"/>
      <c r="P91" s="7"/>
      <c r="Q91" s="7"/>
      <c r="R91" s="7"/>
      <c r="S91" s="7"/>
      <c r="T91" s="7"/>
    </row>
    <row r="92" spans="12:20" ht="15.75" customHeight="1" x14ac:dyDescent="0.2">
      <c r="L92" s="6"/>
      <c r="M92" s="7"/>
      <c r="N92" s="7"/>
      <c r="O92" s="7"/>
      <c r="P92" s="7"/>
      <c r="Q92" s="7"/>
      <c r="R92" s="7"/>
      <c r="S92" s="7"/>
      <c r="T92" s="7"/>
    </row>
    <row r="95" spans="12:20" ht="15.75" customHeight="1" x14ac:dyDescent="0.2">
      <c r="L95" s="1"/>
      <c r="M95" s="1"/>
    </row>
    <row r="96" spans="12:20" ht="15.75" customHeight="1" x14ac:dyDescent="0.2">
      <c r="L96" s="1"/>
      <c r="M96" s="1"/>
      <c r="N96" s="1"/>
      <c r="O96" s="1"/>
      <c r="P96" s="1"/>
      <c r="Q96" s="1"/>
      <c r="R96" s="1"/>
      <c r="S96" s="1"/>
      <c r="T96" s="1"/>
    </row>
    <row r="97" spans="12:20" ht="15.75" customHeight="1" x14ac:dyDescent="0.2">
      <c r="L97" s="6"/>
      <c r="M97" s="7"/>
      <c r="N97" s="7"/>
      <c r="O97" s="7"/>
      <c r="P97" s="7"/>
      <c r="Q97" s="7"/>
      <c r="R97" s="7"/>
      <c r="S97" s="7"/>
      <c r="T97" s="7"/>
    </row>
    <row r="98" spans="12:20" ht="15.75" customHeight="1" x14ac:dyDescent="0.2">
      <c r="L98" s="6"/>
      <c r="M98" s="7"/>
      <c r="N98" s="7"/>
      <c r="O98" s="7"/>
      <c r="P98" s="7"/>
      <c r="Q98" s="7"/>
      <c r="R98" s="7"/>
      <c r="S98" s="7"/>
      <c r="T98" s="7"/>
    </row>
    <row r="99" spans="12:20" ht="15.75" customHeight="1" x14ac:dyDescent="0.2">
      <c r="L99" s="6"/>
      <c r="M99" s="7"/>
      <c r="N99" s="7"/>
      <c r="O99" s="7"/>
      <c r="P99" s="7"/>
      <c r="Q99" s="7"/>
      <c r="R99" s="7"/>
      <c r="S99" s="7"/>
      <c r="T99" s="7"/>
    </row>
    <row r="100" spans="12:20" ht="15.75" customHeight="1" x14ac:dyDescent="0.2">
      <c r="L100" s="6"/>
      <c r="M100" s="7"/>
      <c r="N100" s="7"/>
      <c r="O100" s="7"/>
      <c r="P100" s="7"/>
      <c r="Q100" s="7"/>
      <c r="R100" s="7"/>
      <c r="S100" s="7"/>
      <c r="T1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3CFB-85C5-4694-A0BE-51915971FC80}">
  <dimension ref="A1:K48"/>
  <sheetViews>
    <sheetView topLeftCell="A26" workbookViewId="0">
      <selection activeCell="K37" sqref="K37:K43"/>
    </sheetView>
  </sheetViews>
  <sheetFormatPr defaultColWidth="12.5703125" defaultRowHeight="12.75" x14ac:dyDescent="0.2"/>
  <cols>
    <col min="1" max="1" width="18.140625" bestFit="1" customWidth="1"/>
    <col min="2" max="4" width="16.42578125" customWidth="1"/>
    <col min="5" max="9" width="13.42578125" bestFit="1" customWidth="1"/>
  </cols>
  <sheetData>
    <row r="1" spans="1:9" ht="15.75" customHeight="1" x14ac:dyDescent="0.2">
      <c r="A1" t="s">
        <v>16</v>
      </c>
      <c r="B1" t="s">
        <v>17</v>
      </c>
      <c r="C1" t="s">
        <v>18</v>
      </c>
      <c r="D1" t="s">
        <v>19</v>
      </c>
      <c r="E1" t="s">
        <v>1</v>
      </c>
      <c r="F1" t="s">
        <v>20</v>
      </c>
      <c r="G1" t="s">
        <v>21</v>
      </c>
      <c r="H1" t="s">
        <v>22</v>
      </c>
      <c r="I1" t="s">
        <v>23</v>
      </c>
    </row>
    <row r="2" spans="1:9" ht="15.75" customHeight="1" x14ac:dyDescent="0.2">
      <c r="A2" t="s">
        <v>24</v>
      </c>
      <c r="B2" s="18">
        <v>0.91666666666666663</v>
      </c>
      <c r="C2" s="18">
        <v>0.80555555555555558</v>
      </c>
      <c r="D2" s="18">
        <v>0.80555555555555558</v>
      </c>
      <c r="E2" s="18">
        <v>1</v>
      </c>
      <c r="F2" s="18">
        <v>0.77777777777777779</v>
      </c>
      <c r="G2" s="18">
        <v>0.77777777777777779</v>
      </c>
      <c r="H2" s="18">
        <v>0.625</v>
      </c>
      <c r="I2" s="18">
        <v>0.375</v>
      </c>
    </row>
    <row r="3" spans="1:9" ht="15.75" customHeight="1" x14ac:dyDescent="0.2">
      <c r="A3" t="s">
        <v>25</v>
      </c>
      <c r="B3" s="18">
        <v>1</v>
      </c>
      <c r="C3" s="18">
        <v>1</v>
      </c>
      <c r="D3" s="18">
        <v>1</v>
      </c>
      <c r="E3" s="18">
        <v>1</v>
      </c>
      <c r="F3" s="18">
        <v>0.83333333333333337</v>
      </c>
      <c r="G3" s="18">
        <v>0.83333333333333337</v>
      </c>
      <c r="H3" s="18">
        <v>0.875</v>
      </c>
      <c r="I3" s="18">
        <v>0.79166666666666663</v>
      </c>
    </row>
    <row r="4" spans="1:9" ht="15.75" customHeight="1" x14ac:dyDescent="0.2">
      <c r="A4" t="s">
        <v>26</v>
      </c>
      <c r="B4" s="18">
        <v>0.83333333333333337</v>
      </c>
      <c r="C4" s="18">
        <v>0.83333333333333337</v>
      </c>
      <c r="D4" s="18">
        <v>0.66666666666666663</v>
      </c>
      <c r="E4" s="18">
        <v>0.86111111111111116</v>
      </c>
      <c r="F4" s="18">
        <v>0.88888888888888884</v>
      </c>
      <c r="G4" s="18" t="e">
        <v>#N/A</v>
      </c>
      <c r="H4" s="18">
        <v>0.54166666666666663</v>
      </c>
      <c r="I4" s="18">
        <v>0.58333333333333337</v>
      </c>
    </row>
    <row r="5" spans="1:9" ht="15.75" customHeight="1" x14ac:dyDescent="0.2">
      <c r="A5" t="s">
        <v>27</v>
      </c>
      <c r="B5" s="18">
        <v>1</v>
      </c>
      <c r="C5" s="18">
        <v>1</v>
      </c>
      <c r="D5" s="18">
        <v>1</v>
      </c>
      <c r="E5" s="18">
        <v>0.94444444444444442</v>
      </c>
      <c r="F5" s="18">
        <v>0.88888888888888884</v>
      </c>
      <c r="G5" s="18">
        <v>0.80555555555555558</v>
      </c>
      <c r="H5" s="18">
        <v>0.91666666666666663</v>
      </c>
      <c r="I5" s="18">
        <v>0.875</v>
      </c>
    </row>
    <row r="8" spans="1:9" ht="15.75" customHeight="1" x14ac:dyDescent="0.2">
      <c r="A8" t="s">
        <v>28</v>
      </c>
      <c r="B8" t="s">
        <v>17</v>
      </c>
      <c r="C8" t="s">
        <v>18</v>
      </c>
      <c r="D8" t="s">
        <v>19</v>
      </c>
      <c r="E8" t="s">
        <v>1</v>
      </c>
      <c r="F8" t="s">
        <v>20</v>
      </c>
      <c r="G8" t="s">
        <v>21</v>
      </c>
      <c r="H8" t="s">
        <v>22</v>
      </c>
      <c r="I8" t="s">
        <v>23</v>
      </c>
    </row>
    <row r="9" spans="1:9" ht="15.75" customHeight="1" x14ac:dyDescent="0.2">
      <c r="A9" t="s">
        <v>24</v>
      </c>
      <c r="B9" s="18">
        <v>0.94444444444444442</v>
      </c>
      <c r="C9" s="18">
        <v>0.88888888888888884</v>
      </c>
      <c r="D9" s="18">
        <v>0.80555555555555558</v>
      </c>
      <c r="E9" s="18">
        <v>0.88888888888888884</v>
      </c>
      <c r="F9" s="18">
        <v>0.77777777777777779</v>
      </c>
      <c r="G9" s="18">
        <v>0.77777777777777779</v>
      </c>
      <c r="H9" s="18">
        <v>0.79166666666666663</v>
      </c>
      <c r="I9" s="18">
        <v>0.375</v>
      </c>
    </row>
    <row r="10" spans="1:9" ht="15.75" customHeight="1" x14ac:dyDescent="0.2">
      <c r="A10" t="s">
        <v>25</v>
      </c>
      <c r="B10" s="18">
        <v>0.94444444444444442</v>
      </c>
      <c r="C10" s="18">
        <v>0.97222222222222221</v>
      </c>
      <c r="D10" s="18">
        <v>1</v>
      </c>
      <c r="E10" s="18">
        <v>0.91666666666666663</v>
      </c>
      <c r="F10" s="18">
        <v>0.86111111111111116</v>
      </c>
      <c r="G10" s="18">
        <v>0.80555555555555558</v>
      </c>
      <c r="H10" s="18">
        <v>0.875</v>
      </c>
      <c r="I10" s="18">
        <v>0.75</v>
      </c>
    </row>
    <row r="11" spans="1:9" ht="15.75" customHeight="1" x14ac:dyDescent="0.2">
      <c r="A11" t="s">
        <v>26</v>
      </c>
      <c r="B11" s="18">
        <v>0.97222222222222221</v>
      </c>
      <c r="C11" s="18">
        <v>1</v>
      </c>
      <c r="D11" s="18">
        <v>0.80555555555555558</v>
      </c>
      <c r="E11" s="18">
        <v>0.75</v>
      </c>
      <c r="F11" s="18">
        <v>0.80555555555555558</v>
      </c>
      <c r="G11" s="18" t="e">
        <v>#N/A</v>
      </c>
      <c r="H11" s="18">
        <v>0.54166666666666663</v>
      </c>
      <c r="I11" s="18">
        <v>0.54166666666666663</v>
      </c>
    </row>
    <row r="12" spans="1:9" ht="15.75" customHeight="1" x14ac:dyDescent="0.2">
      <c r="A12" t="s">
        <v>27</v>
      </c>
      <c r="B12" s="18">
        <v>1</v>
      </c>
      <c r="C12" s="18">
        <v>1</v>
      </c>
      <c r="D12" s="18">
        <v>1</v>
      </c>
      <c r="E12" s="18">
        <v>1</v>
      </c>
      <c r="F12" s="18">
        <v>0.88888888888888884</v>
      </c>
      <c r="G12" s="18">
        <v>0.75</v>
      </c>
      <c r="H12" s="18">
        <v>0.91666666666666663</v>
      </c>
      <c r="I12" s="18">
        <v>0.875</v>
      </c>
    </row>
    <row r="15" spans="1:9" ht="15.75" customHeight="1" x14ac:dyDescent="0.2">
      <c r="A15" t="s">
        <v>29</v>
      </c>
      <c r="B15" t="s">
        <v>17</v>
      </c>
      <c r="C15" t="s">
        <v>18</v>
      </c>
      <c r="D15" t="s">
        <v>19</v>
      </c>
      <c r="E15" t="s">
        <v>1</v>
      </c>
      <c r="F15" t="s">
        <v>20</v>
      </c>
      <c r="G15" t="s">
        <v>21</v>
      </c>
      <c r="H15" t="s">
        <v>22</v>
      </c>
      <c r="I15" t="s">
        <v>23</v>
      </c>
    </row>
    <row r="16" spans="1:9" ht="15.75" customHeight="1" x14ac:dyDescent="0.2">
      <c r="A16" t="s">
        <v>24</v>
      </c>
      <c r="B16" s="18">
        <v>0.94444444444444442</v>
      </c>
      <c r="C16" s="18">
        <v>0.88888888888888884</v>
      </c>
      <c r="D16" s="18">
        <v>0.80555555555555558</v>
      </c>
      <c r="E16" s="18">
        <v>0.88888888888888884</v>
      </c>
      <c r="F16" s="18">
        <v>0.77777777777777779</v>
      </c>
      <c r="G16" s="18">
        <v>0.77777777777777779</v>
      </c>
      <c r="H16" s="18">
        <v>0.625</v>
      </c>
      <c r="I16" s="18">
        <v>0.375</v>
      </c>
    </row>
    <row r="17" spans="1:9" ht="15.75" customHeight="1" x14ac:dyDescent="0.2">
      <c r="A17" t="s">
        <v>25</v>
      </c>
      <c r="B17" s="18">
        <v>1</v>
      </c>
      <c r="C17" s="18">
        <v>0.97222222222222221</v>
      </c>
      <c r="D17" s="18">
        <v>1</v>
      </c>
      <c r="E17" s="18">
        <v>0.97222222222222221</v>
      </c>
      <c r="F17" s="18">
        <v>0.86111111111111116</v>
      </c>
      <c r="G17" s="18">
        <v>0.83333333333333337</v>
      </c>
      <c r="H17" s="18">
        <v>0.875</v>
      </c>
      <c r="I17" s="18">
        <v>0.75</v>
      </c>
    </row>
    <row r="18" spans="1:9" ht="15.75" customHeight="1" x14ac:dyDescent="0.2">
      <c r="A18" t="s">
        <v>26</v>
      </c>
      <c r="B18" s="18">
        <v>0.97222222222222221</v>
      </c>
      <c r="C18" s="18">
        <v>1</v>
      </c>
      <c r="D18" s="18">
        <v>0.86111111111111116</v>
      </c>
      <c r="E18" s="18">
        <v>0.80555555555555558</v>
      </c>
      <c r="F18" s="18">
        <v>0.86111111111111116</v>
      </c>
      <c r="G18" s="18" t="e">
        <v>#N/A</v>
      </c>
      <c r="H18" s="18">
        <v>0.45833333333333331</v>
      </c>
      <c r="I18" s="18">
        <v>0.54166666666666663</v>
      </c>
    </row>
    <row r="19" spans="1:9" ht="15.75" customHeight="1" x14ac:dyDescent="0.2">
      <c r="A19" t="s">
        <v>27</v>
      </c>
      <c r="B19" s="18">
        <v>1</v>
      </c>
      <c r="C19" s="18">
        <v>1</v>
      </c>
      <c r="D19" s="18">
        <v>1</v>
      </c>
      <c r="E19" s="18">
        <v>1</v>
      </c>
      <c r="F19" s="18">
        <v>0.88888888888888884</v>
      </c>
      <c r="G19" s="18">
        <v>0.80555555555555558</v>
      </c>
      <c r="H19" s="18">
        <v>0.91666666666666663</v>
      </c>
      <c r="I19" s="18">
        <v>0.79166666666666663</v>
      </c>
    </row>
    <row r="22" spans="1:9" ht="15.75" customHeight="1" x14ac:dyDescent="0.2">
      <c r="A22" t="s">
        <v>30</v>
      </c>
      <c r="B22" t="s">
        <v>17</v>
      </c>
      <c r="C22" t="s">
        <v>18</v>
      </c>
      <c r="D22" t="s">
        <v>19</v>
      </c>
      <c r="E22" t="s">
        <v>1</v>
      </c>
      <c r="F22" t="s">
        <v>20</v>
      </c>
      <c r="G22" t="s">
        <v>21</v>
      </c>
      <c r="H22" t="s">
        <v>22</v>
      </c>
      <c r="I22" t="s">
        <v>23</v>
      </c>
    </row>
    <row r="23" spans="1:9" ht="15.75" customHeight="1" x14ac:dyDescent="0.2">
      <c r="A23" t="s">
        <v>24</v>
      </c>
      <c r="B23" s="18">
        <v>0.91666666666666663</v>
      </c>
      <c r="C23" s="18">
        <v>0.88888888888888884</v>
      </c>
      <c r="D23" s="18">
        <v>0.80555555555555558</v>
      </c>
      <c r="E23" s="18">
        <v>0.88888888888888884</v>
      </c>
      <c r="F23" s="18">
        <v>0.83333333333333337</v>
      </c>
      <c r="G23" s="18">
        <v>0.80555555555555558</v>
      </c>
      <c r="H23" s="18">
        <v>0.66666666666666663</v>
      </c>
      <c r="I23" s="18">
        <v>0.375</v>
      </c>
    </row>
    <row r="24" spans="1:9" ht="15.75" customHeight="1" x14ac:dyDescent="0.2">
      <c r="A24" t="s">
        <v>25</v>
      </c>
      <c r="B24" s="18">
        <v>0.97222222222222221</v>
      </c>
      <c r="C24" s="18">
        <v>0.94444444444444442</v>
      </c>
      <c r="D24" s="18">
        <v>1</v>
      </c>
      <c r="E24" s="18">
        <v>0.91666666666666663</v>
      </c>
      <c r="F24" s="18">
        <v>0.83333333333333337</v>
      </c>
      <c r="G24" s="18">
        <v>0.80555555555555558</v>
      </c>
      <c r="H24" s="18">
        <v>0.875</v>
      </c>
      <c r="I24" s="18">
        <v>0.75</v>
      </c>
    </row>
    <row r="25" spans="1:9" ht="15.75" customHeight="1" x14ac:dyDescent="0.2">
      <c r="A25" t="s">
        <v>26</v>
      </c>
      <c r="B25" s="18">
        <v>1</v>
      </c>
      <c r="C25" s="18">
        <v>1</v>
      </c>
      <c r="D25" s="18">
        <v>0.77777777777777779</v>
      </c>
      <c r="E25" s="18">
        <v>0.83333333333333337</v>
      </c>
      <c r="F25" s="18">
        <v>0.86111111111111116</v>
      </c>
      <c r="G25" s="18" t="e">
        <v>#N/A</v>
      </c>
      <c r="H25" s="18">
        <v>0.58333333333333337</v>
      </c>
      <c r="I25" s="18">
        <v>0.54166666666666663</v>
      </c>
    </row>
    <row r="26" spans="1:9" ht="15.75" customHeight="1" x14ac:dyDescent="0.2">
      <c r="A26" t="s">
        <v>27</v>
      </c>
      <c r="B26" s="18">
        <v>1</v>
      </c>
      <c r="C26" s="18">
        <v>1</v>
      </c>
      <c r="D26" s="18">
        <v>1</v>
      </c>
      <c r="E26" s="18">
        <v>1</v>
      </c>
      <c r="F26" s="18">
        <v>0.86111111111111116</v>
      </c>
      <c r="G26" s="18">
        <v>0.80555555555555558</v>
      </c>
      <c r="H26" s="18">
        <v>0.91666666666666663</v>
      </c>
      <c r="I26" s="18">
        <v>0.875</v>
      </c>
    </row>
    <row r="29" spans="1:9" ht="15.75" customHeight="1" x14ac:dyDescent="0.2">
      <c r="A29" t="s">
        <v>31</v>
      </c>
      <c r="B29" t="s">
        <v>17</v>
      </c>
      <c r="C29" t="s">
        <v>18</v>
      </c>
      <c r="D29" t="s">
        <v>19</v>
      </c>
      <c r="E29" t="s">
        <v>1</v>
      </c>
      <c r="F29" t="s">
        <v>20</v>
      </c>
      <c r="G29" t="s">
        <v>21</v>
      </c>
      <c r="H29" t="s">
        <v>22</v>
      </c>
      <c r="I29" t="s">
        <v>23</v>
      </c>
    </row>
    <row r="30" spans="1:9" ht="15.75" customHeight="1" x14ac:dyDescent="0.2">
      <c r="A30" t="s">
        <v>24</v>
      </c>
      <c r="B30" s="18">
        <v>0.94444444444444442</v>
      </c>
      <c r="C30" s="18">
        <v>0.83333333333333337</v>
      </c>
      <c r="D30" s="18">
        <v>0.80555555555555558</v>
      </c>
      <c r="E30" s="18">
        <v>0.88888888888888884</v>
      </c>
      <c r="F30" s="18">
        <v>0.77777777777777779</v>
      </c>
      <c r="G30" s="18">
        <v>0.77777777777777779</v>
      </c>
      <c r="H30" s="18">
        <v>0.625</v>
      </c>
      <c r="I30" s="18">
        <v>0.375</v>
      </c>
    </row>
    <row r="31" spans="1:9" ht="15.75" customHeight="1" x14ac:dyDescent="0.2">
      <c r="A31" t="s">
        <v>25</v>
      </c>
      <c r="B31" s="18">
        <v>0.97222222222222221</v>
      </c>
      <c r="C31" s="18">
        <v>1</v>
      </c>
      <c r="D31" s="18">
        <v>0.94444444444444442</v>
      </c>
      <c r="E31" s="18">
        <v>0.97222222222222221</v>
      </c>
      <c r="F31" s="18">
        <v>0.83333333333333337</v>
      </c>
      <c r="G31" s="18">
        <v>0.83333333333333337</v>
      </c>
      <c r="H31" s="18">
        <v>0.83333333333333337</v>
      </c>
      <c r="I31" s="18">
        <v>0.70833333333333337</v>
      </c>
    </row>
    <row r="32" spans="1:9" ht="15.75" customHeight="1" x14ac:dyDescent="0.2">
      <c r="A32" t="s">
        <v>26</v>
      </c>
      <c r="B32" s="18">
        <v>1</v>
      </c>
      <c r="C32" s="18">
        <v>0.88888888888888884</v>
      </c>
      <c r="D32" s="18">
        <v>0.83333333333333337</v>
      </c>
      <c r="E32" s="18">
        <v>0.83333333333333337</v>
      </c>
      <c r="F32" s="18">
        <v>0.77777777777777779</v>
      </c>
      <c r="G32" s="18" t="e">
        <v>#N/A</v>
      </c>
      <c r="H32" s="18">
        <v>0.58333333333333337</v>
      </c>
      <c r="I32" s="18">
        <v>0.54166666666666663</v>
      </c>
    </row>
    <row r="33" spans="1:11" ht="15.75" customHeight="1" x14ac:dyDescent="0.2">
      <c r="A33" t="s">
        <v>27</v>
      </c>
      <c r="B33" s="18">
        <v>1</v>
      </c>
      <c r="C33" s="18">
        <v>1</v>
      </c>
      <c r="D33" s="18">
        <v>0.94444444444444442</v>
      </c>
      <c r="E33" s="18">
        <v>1</v>
      </c>
      <c r="F33" s="18">
        <v>0.86111111111111116</v>
      </c>
      <c r="G33" s="18">
        <v>0.77777777777777779</v>
      </c>
      <c r="H33" s="18">
        <v>0.91666666666666663</v>
      </c>
      <c r="I33" s="18">
        <v>0.83333333333333337</v>
      </c>
    </row>
    <row r="37" spans="1:11" ht="15.75" customHeight="1" x14ac:dyDescent="0.2">
      <c r="A37" s="19" t="s">
        <v>32</v>
      </c>
      <c r="B37" s="19" t="s">
        <v>17</v>
      </c>
      <c r="C37" s="19" t="s">
        <v>18</v>
      </c>
      <c r="D37" s="19" t="s">
        <v>19</v>
      </c>
      <c r="E37" s="19" t="s">
        <v>1</v>
      </c>
      <c r="F37" s="19" t="s">
        <v>20</v>
      </c>
      <c r="G37" s="19" t="s">
        <v>21</v>
      </c>
      <c r="H37" s="19" t="s">
        <v>22</v>
      </c>
      <c r="I37" s="19" t="s">
        <v>23</v>
      </c>
      <c r="J37" s="19"/>
      <c r="K37" s="19"/>
    </row>
    <row r="38" spans="1:11" s="22" customFormat="1" ht="15.75" customHeight="1" x14ac:dyDescent="0.2">
      <c r="A38" s="19" t="s">
        <v>24</v>
      </c>
      <c r="B38" s="20">
        <f>AVERAGE(B2,B9,B16,B23,B30)</f>
        <v>0.93333333333333324</v>
      </c>
      <c r="C38" s="20">
        <f t="shared" ref="C38:I38" si="0">AVERAGE(C2,C9,C16,C23,C30)</f>
        <v>0.86111111111111105</v>
      </c>
      <c r="D38" s="20">
        <f t="shared" si="0"/>
        <v>0.80555555555555558</v>
      </c>
      <c r="E38" s="20">
        <f t="shared" si="0"/>
        <v>0.91111111111111109</v>
      </c>
      <c r="F38" s="20">
        <f t="shared" si="0"/>
        <v>0.78888888888888897</v>
      </c>
      <c r="G38" s="20">
        <f t="shared" si="0"/>
        <v>0.78333333333333344</v>
      </c>
      <c r="H38" s="20">
        <f t="shared" si="0"/>
        <v>0.66666666666666663</v>
      </c>
      <c r="I38" s="20">
        <f t="shared" si="0"/>
        <v>0.375</v>
      </c>
      <c r="J38" s="19"/>
      <c r="K38" s="21"/>
    </row>
    <row r="39" spans="1:11" ht="15.75" customHeight="1" x14ac:dyDescent="0.2">
      <c r="A39" s="19" t="s">
        <v>25</v>
      </c>
      <c r="B39" s="20">
        <f t="shared" ref="B39:I41" si="1">AVERAGE(B3,B10,B17,B24,B31)</f>
        <v>0.97777777777777786</v>
      </c>
      <c r="C39" s="20">
        <f t="shared" si="1"/>
        <v>0.97777777777777786</v>
      </c>
      <c r="D39" s="20">
        <f t="shared" si="1"/>
        <v>0.98888888888888893</v>
      </c>
      <c r="E39" s="20">
        <f t="shared" si="1"/>
        <v>0.95555555555555549</v>
      </c>
      <c r="F39" s="20">
        <f t="shared" si="1"/>
        <v>0.84444444444444444</v>
      </c>
      <c r="G39" s="20">
        <f t="shared" si="1"/>
        <v>0.82222222222222219</v>
      </c>
      <c r="H39" s="20">
        <f t="shared" si="1"/>
        <v>0.86666666666666659</v>
      </c>
      <c r="I39" s="20">
        <f t="shared" si="1"/>
        <v>0.75</v>
      </c>
      <c r="J39" s="19"/>
      <c r="K39" s="21"/>
    </row>
    <row r="40" spans="1:11" ht="15.75" customHeight="1" x14ac:dyDescent="0.2">
      <c r="A40" s="19" t="s">
        <v>26</v>
      </c>
      <c r="B40" s="20">
        <f t="shared" si="1"/>
        <v>0.95555555555555549</v>
      </c>
      <c r="C40" s="20">
        <f t="shared" si="1"/>
        <v>0.94444444444444442</v>
      </c>
      <c r="D40" s="20">
        <f t="shared" si="1"/>
        <v>0.78888888888888897</v>
      </c>
      <c r="E40" s="20">
        <f t="shared" si="1"/>
        <v>0.81666666666666676</v>
      </c>
      <c r="F40" s="20">
        <f t="shared" si="1"/>
        <v>0.83888888888888891</v>
      </c>
      <c r="G40" s="20" t="e">
        <f t="shared" si="1"/>
        <v>#N/A</v>
      </c>
      <c r="H40" s="20">
        <f t="shared" si="1"/>
        <v>0.54166666666666674</v>
      </c>
      <c r="I40" s="20">
        <f t="shared" si="1"/>
        <v>0.54999999999999993</v>
      </c>
      <c r="J40" s="19"/>
      <c r="K40" s="21"/>
    </row>
    <row r="41" spans="1:11" ht="15.75" customHeight="1" x14ac:dyDescent="0.2">
      <c r="A41" s="19" t="s">
        <v>27</v>
      </c>
      <c r="B41" s="20">
        <f t="shared" si="1"/>
        <v>1</v>
      </c>
      <c r="C41" s="20">
        <f t="shared" si="1"/>
        <v>1</v>
      </c>
      <c r="D41" s="20">
        <f t="shared" si="1"/>
        <v>0.98888888888888893</v>
      </c>
      <c r="E41" s="20">
        <f t="shared" si="1"/>
        <v>0.98888888888888893</v>
      </c>
      <c r="F41" s="20">
        <f t="shared" si="1"/>
        <v>0.87777777777777788</v>
      </c>
      <c r="G41" s="20">
        <f t="shared" si="1"/>
        <v>0.78888888888888897</v>
      </c>
      <c r="H41" s="20">
        <f t="shared" si="1"/>
        <v>0.91666666666666663</v>
      </c>
      <c r="I41" s="20">
        <f t="shared" si="1"/>
        <v>0.85</v>
      </c>
      <c r="J41" s="19"/>
      <c r="K41" s="21"/>
    </row>
    <row r="44" spans="1:11" ht="15.75" customHeight="1" x14ac:dyDescent="0.2">
      <c r="A44" s="19" t="s">
        <v>33</v>
      </c>
      <c r="B44" s="19" t="s">
        <v>17</v>
      </c>
      <c r="C44" s="19" t="s">
        <v>18</v>
      </c>
      <c r="D44" s="19" t="s">
        <v>19</v>
      </c>
      <c r="E44" s="19" t="s">
        <v>1</v>
      </c>
      <c r="F44" s="19" t="s">
        <v>20</v>
      </c>
      <c r="G44" s="19" t="s">
        <v>21</v>
      </c>
      <c r="H44" s="19" t="s">
        <v>22</v>
      </c>
      <c r="I44" s="19" t="s">
        <v>23</v>
      </c>
    </row>
    <row r="45" spans="1:11" ht="15.75" customHeight="1" x14ac:dyDescent="0.2">
      <c r="A45" s="19" t="s">
        <v>24</v>
      </c>
      <c r="B45" s="20">
        <f>_xlfn.STDEV.S(B2,B9,B16,B23,B30)</f>
        <v>1.5214515486254623E-2</v>
      </c>
      <c r="C45" s="20">
        <f t="shared" ref="C45:I45" si="2">_xlfn.STDEV.S(C2,C9,C16,C23,C30)</f>
        <v>3.928371006591927E-2</v>
      </c>
      <c r="D45" s="20">
        <f t="shared" si="2"/>
        <v>0</v>
      </c>
      <c r="E45" s="20">
        <f t="shared" si="2"/>
        <v>4.9690399499995354E-2</v>
      </c>
      <c r="F45" s="20">
        <f t="shared" si="2"/>
        <v>2.4845199749997673E-2</v>
      </c>
      <c r="G45" s="20">
        <f t="shared" si="2"/>
        <v>1.2422599874998837E-2</v>
      </c>
      <c r="H45" s="20">
        <f t="shared" si="2"/>
        <v>7.2168783648703203E-2</v>
      </c>
      <c r="I45" s="20">
        <f t="shared" si="2"/>
        <v>0</v>
      </c>
    </row>
    <row r="46" spans="1:11" ht="15.75" customHeight="1" x14ac:dyDescent="0.2">
      <c r="A46" s="19" t="s">
        <v>25</v>
      </c>
      <c r="B46" s="20">
        <f t="shared" ref="B46:I48" si="3">_xlfn.STDEV.S(B3,B10,B17,B24,B31)</f>
        <v>2.3240556292613221E-2</v>
      </c>
      <c r="C46" s="20">
        <f t="shared" si="3"/>
        <v>2.3240556292613221E-2</v>
      </c>
      <c r="D46" s="20">
        <f t="shared" si="3"/>
        <v>2.4845199749997673E-2</v>
      </c>
      <c r="E46" s="20">
        <f t="shared" si="3"/>
        <v>3.726779962499651E-2</v>
      </c>
      <c r="F46" s="20">
        <f t="shared" si="3"/>
        <v>1.5214515486254621E-2</v>
      </c>
      <c r="G46" s="20">
        <f t="shared" si="3"/>
        <v>1.5214515486254623E-2</v>
      </c>
      <c r="H46" s="20">
        <f t="shared" si="3"/>
        <v>1.8633899812498231E-2</v>
      </c>
      <c r="I46" s="20">
        <f t="shared" si="3"/>
        <v>2.9462782549439452E-2</v>
      </c>
    </row>
    <row r="47" spans="1:11" ht="15.75" customHeight="1" x14ac:dyDescent="0.2">
      <c r="A47" s="19" t="s">
        <v>26</v>
      </c>
      <c r="B47" s="20">
        <f t="shared" si="3"/>
        <v>6.9721668877839607E-2</v>
      </c>
      <c r="C47" s="20">
        <f t="shared" si="3"/>
        <v>7.8567420131838608E-2</v>
      </c>
      <c r="D47" s="20">
        <f t="shared" si="3"/>
        <v>7.5051422700590564E-2</v>
      </c>
      <c r="E47" s="20">
        <f t="shared" si="3"/>
        <v>4.2127085800286415E-2</v>
      </c>
      <c r="F47" s="20">
        <f t="shared" si="3"/>
        <v>4.5643546458763833E-2</v>
      </c>
      <c r="G47" s="20" t="e">
        <f t="shared" si="3"/>
        <v>#N/A</v>
      </c>
      <c r="H47" s="20">
        <f t="shared" si="3"/>
        <v>5.1031036307982898E-2</v>
      </c>
      <c r="I47" s="20">
        <f t="shared" si="3"/>
        <v>1.8633899812498283E-2</v>
      </c>
    </row>
    <row r="48" spans="1:11" ht="15.75" customHeight="1" x14ac:dyDescent="0.2">
      <c r="A48" s="19" t="s">
        <v>27</v>
      </c>
      <c r="B48" s="20">
        <f t="shared" si="3"/>
        <v>0</v>
      </c>
      <c r="C48" s="20">
        <f t="shared" si="3"/>
        <v>0</v>
      </c>
      <c r="D48" s="20">
        <f t="shared" si="3"/>
        <v>2.4845199749997673E-2</v>
      </c>
      <c r="E48" s="20">
        <f t="shared" si="3"/>
        <v>2.4845199749997673E-2</v>
      </c>
      <c r="F48" s="20">
        <f t="shared" si="3"/>
        <v>1.5214515486254561E-2</v>
      </c>
      <c r="G48" s="20">
        <f t="shared" si="3"/>
        <v>2.4845199749997673E-2</v>
      </c>
      <c r="H48" s="20">
        <f t="shared" si="3"/>
        <v>0</v>
      </c>
      <c r="I48" s="20">
        <f t="shared" si="3"/>
        <v>3.726779962499651E-2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Results</vt:lpstr>
      <vt:lpstr>per 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Verbruggen</dc:creator>
  <cp:lastModifiedBy>Verbruggen, Charlotte Roos R.</cp:lastModifiedBy>
  <dcterms:created xsi:type="dcterms:W3CDTF">2025-12-01T19:46:32Z</dcterms:created>
  <dcterms:modified xsi:type="dcterms:W3CDTF">2026-04-16T18:37:57Z</dcterms:modified>
</cp:coreProperties>
</file>